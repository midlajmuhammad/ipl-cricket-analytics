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dd09a5e522366ce/Documents/Project_3.1/"/>
    </mc:Choice>
  </mc:AlternateContent>
  <xr:revisionPtr revIDLastSave="635" documentId="8_{CC3B83E4-4774-4DEE-8C1A-6012C9DA1E77}" xr6:coauthVersionLast="47" xr6:coauthVersionMax="47" xr10:uidLastSave="{2822133C-CFD8-478F-8A21-6BA7C735745F}"/>
  <bookViews>
    <workbookView xWindow="-108" yWindow="-108" windowWidth="23256" windowHeight="13176" tabRatio="500" firstSheet="1" activeTab="2"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<sst xmlns="http://schemas.openxmlformats.org/spreadsheetml/2006/main" count="747" uniqueCount="405">
  <si>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</si>
  <si>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</si>
  <si>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</si>
  <si>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</si>
  <si>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</si>
  <si>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</si>
  <si>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</si>
  <si>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</si>
  <si>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</si>
  <si>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</si>
  <si>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</si>
  <si>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</si>
  <si>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</si>
  <si>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</si>
  <si>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</si>
  <si>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</si>
  <si>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</si>
  <si>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</si>
  <si>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</si>
  <si>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</si>
  <si>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</si>
  <si>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</si>
  <si>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</si>
  <si>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</si>
  <si>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</si>
  <si>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</si>
  <si>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</si>
  <si>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</si>
  <si>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</si>
  <si>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</si>
  <si>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</si>
  <si>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</si>
  <si>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</si>
  <si>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</si>
  <si>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</si>
  <si>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</si>
  <si>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</si>
  <si>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</si>
  <si>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</si>
  <si>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</si>
  <si>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</si>
  <si>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</si>
  <si>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</si>
  <si>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</si>
  <si>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</si>
  <si>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</si>
  <si>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</si>
  <si>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</si>
  <si>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</si>
  <si>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</si>
  <si>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</si>
  <si>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</si>
  <si>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</si>
  <si>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</si>
  <si>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</si>
  <si>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</si>
  <si>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FILE DESCRIPTION</t>
  </si>
  <si>
    <t>FILE STATS</t>
  </si>
  <si>
    <t>Format</t>
  </si>
  <si>
    <t>File Size</t>
  </si>
  <si>
    <t>Sampling used?</t>
  </si>
  <si>
    <t>SHEET NAME</t>
  </si>
  <si>
    <t>SHEET DESCRIPTION</t>
  </si>
  <si>
    <t>SHEET STATS</t>
  </si>
  <si>
    <t>Approx. Rows</t>
  </si>
  <si>
    <t>Approx. Cols</t>
  </si>
  <si>
    <t>COLUMN NAME  →</t>
  </si>
  <si>
    <t>customer_id</t>
  </si>
  <si>
    <t>Business Description</t>
  </si>
  <si>
    <t>Data Type</t>
  </si>
  <si>
    <t>ID/Key</t>
  </si>
  <si>
    <t>Categorical</t>
  </si>
  <si>
    <t>Key Type</t>
  </si>
  <si>
    <t>Primary Key</t>
  </si>
  <si>
    <t>None</t>
  </si>
  <si>
    <t>Foreign Key</t>
  </si>
  <si>
    <t>Sample Values</t>
  </si>
  <si>
    <t>Distinct Count</t>
  </si>
  <si>
    <t>—</t>
  </si>
  <si>
    <t>Unique Values (if ≤20)</t>
  </si>
  <si>
    <t>% Missing</t>
  </si>
  <si>
    <t>0%</t>
  </si>
  <si>
    <t>Data Quality Notes</t>
  </si>
  <si>
    <t>None.</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</si>
  <si>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</si>
  <si>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</si>
  <si>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</si>
  <si>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</si>
  <si>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</si>
  <si>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</si>
  <si>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</si>
  <si>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</si>
  <si>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</si>
  <si>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</si>
  <si>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</si>
  <si>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</si>
  <si>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</si>
  <si>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</si>
  <si>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</si>
  <si>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</si>
  <si>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</si>
  <si>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</si>
  <si>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</si>
  <si>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</si>
  <si>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</si>
  <si>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</si>
  <si>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</si>
  <si>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</si>
  <si>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</si>
  <si>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</si>
  <si>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</si>
  <si>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</si>
  <si>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</si>
  <si>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</si>
  <si>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</si>
  <si>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</si>
  <si>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</si>
  <si>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</si>
  <si>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</si>
  <si>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</si>
  <si>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</si>
  <si>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</si>
  <si>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Deliveries.csv</t>
  </si>
  <si>
    <t>csv</t>
  </si>
  <si>
    <t>Each row represents bowls delivered during IPL 2008-2026</t>
  </si>
  <si>
    <t>No</t>
  </si>
  <si>
    <t>deliveries</t>
  </si>
  <si>
    <t>only single sheet present,so Each row represents bowls delivered during IPL 2008-2026</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</si>
  <si>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</si>
  <si>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</si>
  <si>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</si>
  <si>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</si>
  <si>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</si>
  <si>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</si>
  <si>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</si>
  <si>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</si>
  <si>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</si>
  <si>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</si>
  <si>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</si>
  <si>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</si>
  <si>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</si>
  <si>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</si>
  <si>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</si>
  <si>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</si>
  <si>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</si>
  <si>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</si>
  <si>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</si>
  <si>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</si>
  <si>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</si>
  <si>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</si>
  <si>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</si>
  <si>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</si>
  <si>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</si>
  <si>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</si>
  <si>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</si>
  <si>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</si>
  <si>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</si>
  <si>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</si>
  <si>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</si>
  <si>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</si>
  <si>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Unique identifier of the cricket season in which the delivery was played</t>
  </si>
  <si>
    <t>Unique identifier for the cricket match.</t>
  </si>
  <si>
    <t>Name of the player facing the delivery.</t>
  </si>
  <si>
    <t>Name of the player delivering the ball.</t>
  </si>
  <si>
    <t>Name of the batter positioned at the non-striker's end.</t>
  </si>
  <si>
    <t>Number of the over in which the delivery occurred.</t>
  </si>
  <si>
    <t>Sequential number identifying the delivery within the over.</t>
  </si>
  <si>
    <t>Number of runs scored by the batter from the delivery.</t>
  </si>
  <si>
    <t>Total number of extra runs awarded on the delivery</t>
  </si>
  <si>
    <t>Total runs scored from the delivery, including batter runs and extras.</t>
  </si>
  <si>
    <t>Batting style/handedness of the batter, such as Left hand Bat or Right hand Bat.</t>
  </si>
  <si>
    <t>Bowling style of the bowler, such as Right arm Medium or Left arm Spin.</t>
  </si>
  <si>
    <t>Name of the batter who was dismissed on the delivery, if a wicket occurred.</t>
  </si>
  <si>
    <t>Name(s) of fielders involved in a dismissal or fielding event.</t>
  </si>
  <si>
    <t>Indicates whether a wicket occurred on the delivery. Typically 1 = Yes and 0 = No.</t>
  </si>
  <si>
    <t>Indicates whether the delivery was called a wide.</t>
  </si>
  <si>
    <t>Indicates whether the delivery was called a no-ball.</t>
  </si>
  <si>
    <t>Indicates whether leg-bye runs were awarded on the delivery.</t>
  </si>
  <si>
    <t>Indicates whether bye runs were awarded on the delivery.</t>
  </si>
  <si>
    <t>Indicates whether penalty runs were awarded on the delivery.</t>
  </si>
  <si>
    <t>Number of runs awarded specifically as wides.</t>
  </si>
  <si>
    <t>Number of runs awarded specifically from a no-ball.</t>
  </si>
  <si>
    <t>Number of runs awarded as leg-byes.</t>
  </si>
  <si>
    <t>Number of runs awarded as byes.</t>
  </si>
  <si>
    <t>Number of penalty runs awarded.</t>
  </si>
  <si>
    <t>Type of dismissal, such as caught, bowled, run out, stumped, etc.</t>
  </si>
  <si>
    <t>Indicates whether the delivery occurred during a Super Over.</t>
  </si>
  <si>
    <t>Indicates which innings of the match the delivery belongs to.</t>
  </si>
  <si>
    <t>Unique identifier of the team that is batting.</t>
  </si>
  <si>
    <t>Unique identifier of the team that is bowling.</t>
  </si>
  <si>
    <t>Name of the team currently batting.</t>
  </si>
  <si>
    <t>Name of the team currently bowling.</t>
  </si>
  <si>
    <t>Numeric</t>
  </si>
  <si>
    <t>Boolean/Flag</t>
  </si>
  <si>
    <t>Categorical/Numeric</t>
  </si>
  <si>
    <t>2008, 2017, 2026</t>
  </si>
  <si>
    <t>335982, 335983</t>
  </si>
  <si>
    <t>SC Ganguly, BB McCullum</t>
  </si>
  <si>
    <t>P Kumar, Z Khan</t>
  </si>
  <si>
    <t>BB McCullum, SC Ganguly</t>
  </si>
  <si>
    <t>0, 1, 2</t>
  </si>
  <si>
    <t>1, 2, 3</t>
  </si>
  <si>
    <t>0, 1, 4</t>
  </si>
  <si>
    <t>Right hand Bat, Left hand Bat</t>
  </si>
  <si>
    <t>Right arm Medium, Right arm Fast</t>
  </si>
  <si>
    <t>BB McCullum, —</t>
  </si>
  <si>
    <t>MS Dhoni, —</t>
  </si>
  <si>
    <t>0, 1</t>
  </si>
  <si>
    <t>0, 5</t>
  </si>
  <si>
    <t>caught, bowled, —</t>
  </si>
  <si>
    <t>1, 2</t>
  </si>
  <si>
    <t>Kolkata Knight Riders, Chennai Super Kings</t>
  </si>
  <si>
    <t>Royal Challengers Bangalore, Mumbai Indians</t>
  </si>
  <si>
    <t>2008, 2009, 2010, 2011, 2012, 2013, 2014, 2015, 2016, 2017, 2018, 2019, 2020, 2021, 2022, 2023, 2024, 2025, 2026</t>
  </si>
  <si>
    <t>0–19</t>
  </si>
  <si>
    <t>1–11</t>
  </si>
  <si>
    <t>0, 1, 2, 3, 4, 5, 6</t>
  </si>
  <si>
    <t>0, 1, 2, 3, 4, 5, 7</t>
  </si>
  <si>
    <t>0, 1, 2, 3, 4, 5, 6, 7</t>
  </si>
  <si>
    <t>0, 1, 2, 3, 4, 5</t>
  </si>
  <si>
    <t>0, 1, 2, 3, 5</t>
  </si>
  <si>
    <t>0, 1, 2, 3, 4</t>
  </si>
  <si>
    <t>1, 2, 3, 4, 5, 6</t>
  </si>
  <si>
    <t>No missing values; valid range 0–19.</t>
  </si>
  <si>
    <t>No missing values; valid delivery numbers.</t>
  </si>
  <si>
    <t>No missing or negative values.</t>
  </si>
  <si>
    <t>No missing values; consistent with batter runs + extras.</t>
  </si>
  <si>
    <t>A small number of values are missing; review player records if required.</t>
  </si>
  <si>
    <t>Missing for most deliveries because a dismissal did not occur; expected missingness.</t>
  </si>
  <si>
    <t>Missing for most deliveries because no fielder was involved; expected missingness.</t>
  </si>
  <si>
    <t>Missing for most deliveries because no wicket occurred; expected missingness.</t>
  </si>
  <si>
    <t>No missing values; valid binary flag (0/1).</t>
  </si>
  <si>
    <t>No missing or negative values; consistent with wide deliveries.</t>
  </si>
  <si>
    <t>No missing or negative values; consistent with no-ball deliveries</t>
  </si>
  <si>
    <t>No missing or negative values; valid leg-bye amounts.</t>
  </si>
  <si>
    <t>No missing or negative values; valid bye amounts.</t>
  </si>
  <si>
    <t>No missing or negative values; values are within expected penalty-run amounts.</t>
  </si>
  <si>
    <t>No missing values; values represent innings numbers.</t>
  </si>
  <si>
    <t>No missing values; valid team identifiers.</t>
  </si>
  <si>
    <t>No missing values; team names are consistently recorded.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</si>
  <si>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</si>
  <si>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</si>
  <si>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</si>
  <si>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</si>
  <si>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</si>
  <si>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</si>
  <si>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</si>
  <si>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</si>
  <si>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</si>
  <si>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</si>
  <si>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</si>
  <si>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</si>
  <si>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</si>
  <si>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</si>
  <si>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</si>
  <si>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</si>
  <si>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</si>
  <si>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</si>
  <si>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</si>
  <si>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</si>
  <si>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</si>
  <si>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</si>
  <si>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</si>
  <si>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</si>
  <si>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</si>
  <si>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</si>
  <si>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identifier for the match.</t>
  </si>
  <si>
    <t>Integer</t>
  </si>
  <si>
    <t>1082591, 1082592, 1082593</t>
  </si>
  <si>
    <t>Complete and unique; suitable as the primary key.</t>
  </si>
  <si>
    <t>Identifier for the IPL season.</t>
  </si>
  <si>
    <t>2008, 2009, 2010</t>
  </si>
  <si>
    <t>2008–2026</t>
  </si>
  <si>
    <t>Complete; 19 valid season IDs.</t>
  </si>
  <si>
    <t>Number of legal balls in an over.</t>
  </si>
  <si>
    <t>Complete and constant at 6.</t>
  </si>
  <si>
    <t>City where the match was played</t>
  </si>
  <si>
    <t>Text</t>
  </si>
  <si>
    <t>Abu Dhabi, Ahmedabad, Bangalore</t>
  </si>
  <si>
    <t>51 values are missing; venue city is unavailable for some matches.</t>
  </si>
  <si>
    <t>Date on which the match was played.</t>
  </si>
  <si>
    <t>2008-04-18, 2008-04-19, 2008-04-20</t>
  </si>
  <si>
    <t>Complete; dates are consistently recorded.</t>
  </si>
  <si>
    <t>Name of the tournament.</t>
  </si>
  <si>
    <t>Indian Premier League</t>
  </si>
  <si>
    <t>Complete and constant.</t>
  </si>
  <si>
    <t>Scheduled match number in the tournament</t>
  </si>
  <si>
    <t>Gender category of the competition</t>
  </si>
  <si>
    <t>Cricket match type</t>
  </si>
  <si>
    <t>Match format</t>
  </si>
  <si>
    <t>Scheduled overs per innings</t>
  </si>
  <si>
    <t>Display label for the IPL season</t>
  </si>
  <si>
    <t>Type of participating teams</t>
  </si>
  <si>
    <t>Stadium or ground where the match was played</t>
  </si>
  <si>
    <t>Team that won the toss.</t>
  </si>
  <si>
    <t>First participating team</t>
  </si>
  <si>
    <t>Second participating team</t>
  </si>
  <si>
    <t>Decision made by the toss-winning team.</t>
  </si>
  <si>
    <t>Team that won the match</t>
  </si>
  <si>
    <t>Winning margin in runs</t>
  </si>
  <si>
    <t>Winning margin in wickets</t>
  </si>
  <si>
    <t>Final match result status</t>
  </si>
  <si>
    <t>Player awarded Player of the Match</t>
  </si>
  <si>
    <t>Identifier for the first team</t>
  </si>
  <si>
    <t>Identifier for the second team</t>
  </si>
  <si>
    <t>Identifier for the toss-winning team</t>
  </si>
  <si>
    <t>Identifier for the match-winning team</t>
  </si>
  <si>
    <t>Identifier for the Player of the Match</t>
  </si>
  <si>
    <t>1, 10, 11</t>
  </si>
  <si>
    <t>male</t>
  </si>
  <si>
    <t>70 values are missing; likely unavailable for some playoff or special fixtures</t>
  </si>
  <si>
    <t xml:space="preserve">	0%</t>
  </si>
  <si>
    <t>Complete and constant</t>
  </si>
  <si>
    <t>T20</t>
  </si>
  <si>
    <t xml:space="preserve">T20 </t>
  </si>
  <si>
    <t>2008, 2009, 2010, 2011, 2012, 2013, 2014, 2015, 2016, 2017, 2018, 2019, 2020, 2020/21, 2021, 2022, 2023, 2024, 2025, 2026</t>
  </si>
  <si>
    <t>Complete; includes the combined 2020/21 season label</t>
  </si>
  <si>
    <t>club</t>
  </si>
  <si>
    <t>Arun Jaitley Stadium, Barabati Stadium</t>
  </si>
  <si>
    <t>Chennai Super Kings, Delhi Capitals</t>
  </si>
  <si>
    <t>bat, field</t>
  </si>
  <si>
    <t>1, 10, 100</t>
  </si>
  <si>
    <t>A Chandila, A Kumble, A Manohar</t>
  </si>
  <si>
    <t>1, 129, 134</t>
  </si>
  <si>
    <t>1, 10, 10070</t>
  </si>
  <si>
    <t xml:space="preserve">	1, 2, 3, 4, 5, 6, 129, 134, 252, 494, 614, 615, 1414, 1419</t>
  </si>
  <si>
    <t>no result, tie, win</t>
  </si>
  <si>
    <t>1, 2, 3, 4, 5, 6, 7, 8, 9, 10</t>
  </si>
  <si>
    <t>1, 2, 3, 4, 5, 6, 129, 134, 252, 494, 614, 615, 1414, 1419</t>
  </si>
  <si>
    <t>14 IPL team names</t>
  </si>
  <si>
    <t>Complete; venue names are populated for all matches</t>
  </si>
  <si>
    <t>Complete; team names are consistently recorded</t>
  </si>
  <si>
    <t>Complete; valid two-category field</t>
  </si>
  <si>
    <t>Complete; all matches have a recorded winner</t>
  </si>
  <si>
    <t>Missing when the result was decided by wickets or had no run-margin result; expected missingness</t>
  </si>
  <si>
    <t>Missing when the result was decided by runs or had no wicket-margin result; expected missingness</t>
  </si>
  <si>
    <t>Complete; valid result categories</t>
  </si>
  <si>
    <t>Nine values are missing, likely for matches without an award</t>
  </si>
  <si>
    <t>Complete; matches the 14 participating teams</t>
  </si>
  <si>
    <t>Complete; matches the team identifier set</t>
  </si>
  <si>
    <t>Nine values are missing, consistent with missing Player of the Match records</t>
  </si>
  <si>
    <t>players.csv</t>
  </si>
  <si>
    <t>IPL cricket dataset containing 799 records and 6 fields.</t>
  </si>
  <si>
    <t>CSV</t>
  </si>
  <si>
    <t>56.2 KB</t>
  </si>
  <si>
    <t>No — full file inspected.</t>
  </si>
  <si>
    <t>players</t>
  </si>
  <si>
    <t>Table containing 799 rows of IPL players data.</t>
  </si>
  <si>
    <t>player_id</t>
  </si>
  <si>
    <t>player_name</t>
  </si>
  <si>
    <t>bat_style</t>
  </si>
  <si>
    <t>bowl_style</t>
  </si>
  <si>
    <t>field_pos</t>
  </si>
  <si>
    <t>player_full_name</t>
  </si>
  <si>
    <t>Unique identifier for a player.</t>
  </si>
  <si>
    <t>Short/display name of the player.</t>
  </si>
  <si>
    <t>Batting style of the player.</t>
  </si>
  <si>
    <t>Bowling style of the player.</t>
  </si>
  <si>
    <t>Fielding position information, when available.</t>
  </si>
  <si>
    <t>Full name of the player.</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</si>
  <si>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</si>
  <si>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</si>
  <si>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</si>
  <si>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</si>
  <si>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</si>
  <si>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</si>
  <si>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 (2)</t>
  </si>
  <si>
    <t xml:space="preserve"> , Wicketkeeper, Occasional Wicketkeeper, Right arm Medium, Right arm Fast, Slow Left arm Orthodox, Wicketkeeper Batter (7)</t>
  </si>
  <si>
    <t>0.00%</t>
  </si>
  <si>
    <t>2.38%</t>
  </si>
  <si>
    <t>11.01%</t>
  </si>
  <si>
    <t>All non-null values are unique</t>
  </si>
  <si>
    <t>No obvious issue from basic profiling.</t>
  </si>
  <si>
    <t>2.38% missing</t>
  </si>
  <si>
    <t>11.01% missing</t>
  </si>
  <si>
    <t>teams.csv</t>
  </si>
  <si>
    <t>IPL cricket dataset containing 16 records and 2 fields.</t>
  </si>
  <si>
    <t>0.4 KB</t>
  </si>
  <si>
    <t>teams</t>
  </si>
  <si>
    <t>Table containing 16 rows of IPL teams data.</t>
  </si>
  <si>
    <t>team_id</t>
  </si>
  <si>
    <t>team_name</t>
  </si>
  <si>
    <t>Unique identifier for a team.</t>
  </si>
  <si>
    <t>Name of the team.</t>
  </si>
  <si>
    <t>Royal Challengers Bangalore, Sunrisers Hyderabad, Mumbai Indians</t>
  </si>
  <si>
    <t>1, 2, 3, 4, 5, 6, 129, 134, 252, 494, 614, 615, 1068, 1414, 1419, 3604 (16)</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</si>
  <si>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 (16)</t>
  </si>
  <si>
    <t>venues.csv</t>
  </si>
  <si>
    <t>IPL cricket dataset containing 63 records and 3 fields.</t>
  </si>
  <si>
    <t>2.8 KB</t>
  </si>
  <si>
    <t>venues</t>
  </si>
  <si>
    <t>Table containing 63 rows of IPL venues data.</t>
  </si>
  <si>
    <t>venue_id</t>
  </si>
  <si>
    <t>Unique identifier for a venue.</t>
  </si>
  <si>
    <t>Venue where the match was played.</t>
  </si>
  <si>
    <t>City where the match was played.</t>
  </si>
  <si>
    <t>M Chinnaswamy Stadium, Rajiv Gandhi International Stadium, Uppal, Maharashtra Cricket Association Stadium</t>
  </si>
  <si>
    <t>Bangalore, Hyderabad, Pune</t>
  </si>
  <si>
    <t>3.17%</t>
  </si>
  <si>
    <t>3.17% missing</t>
  </si>
  <si>
    <t>matches.csv</t>
  </si>
  <si>
    <t>IPL cricket dataset containing 1,212 records and 28 fields.</t>
  </si>
  <si>
    <t>278.6 KB</t>
  </si>
  <si>
    <t>matches</t>
  </si>
  <si>
    <t>Table containing 1,212 rows of IPL matches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</si>
</sst>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i/>
      <sz val="10"/>
      <color rgb="FF5F5E5A"/>
      <name val="Arial"/>
      <family val="2"/>
    </font>
    <font>
      <i/>
      <sz val="10"/>
      <color rgb="FF5F5E5A"/>
      <name val="Arial"/>
      <family val="2"/>
    </font>
    <font>
      <sz val="8"/>
      <name val="Calibri"/>
      <family val="2"/>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8">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style="thin">
        <color rgb="FFC9CFD8"/>
      </right>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7">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3" fontId="2" fillId="3" borderId="3" xfId="0" applyNumberFormat="1"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1" fillId="0" borderId="0" xfId="0" applyFont="1"/>
    <xf numFmtId="0" fontId="2" fillId="0" borderId="0" xfId="0" applyFont="1"/>
    <xf numFmtId="0" fontId="7" fillId="6" borderId="1" xfId="0" applyFont="1" applyFill="1" applyBorder="1" applyAlignment="1">
      <alignment horizontal="left" vertical="center"/>
    </xf>
    <xf numFmtId="0" fontId="0" fillId="0" borderId="4" xfId="0" applyBorder="1"/>
    <xf numFmtId="0" fontId="0" fillId="0" borderId="5" xfId="0" applyBorder="1"/>
    <xf numFmtId="0" fontId="0" fillId="0" borderId="6" xfId="0" applyBorder="1"/>
    <xf numFmtId="0" fontId="0" fillId="0" borderId="7"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cols>
    <col min="1" max="1" width="3" customWidth="1"/>
    <col min="2" max="2" width="34" customWidth="1"/>
    <col min="3" max="3" width="92" customWidth="1"/>
  </cols>
  <sheetData>
    <row r="2" spans="2:3" ht="21">
      <c r="B2" s="3" t="s">
        <v>0</v>
      </c>
    </row>
    <row r="3" spans="2:3">
      <c r="B3" s="2" t="s">
        <v>1</v>
      </c>
    </row>
    <row r="5" spans="2:3" ht="39.6">
      <c r="B5" s="4" t="s">
        <v>2</v>
      </c>
      <c r="C5" s="5" t="s">
        <v>3</v>
      </c>
    </row>
    <row r="7" spans="2:3">
      <c r="B7" s="4" t="s">
        <v>4</v>
      </c>
      <c r="C7" s="6" t="s">
        <v>5</v>
      </c>
    </row>
    <row r="8" spans="2:3">
      <c r="B8" s="5" t="s">
        <v>6</v>
      </c>
      <c r="C8" s="5" t="s">
        <v>7</v>
      </c>
    </row>
    <row r="9" spans="2:3" ht="26.4">
      <c r="B9" s="5" t="s">
        <v>8</v>
      </c>
      <c r="C9" s="5" t="s">
        <v>9</v>
      </c>
    </row>
    <row r="10" spans="2:3" ht="26.4">
      <c r="B10" s="5" t="s">
        <v>10</v>
      </c>
      <c r="C10" s="5" t="s">
        <v>11</v>
      </c>
    </row>
    <row r="11" spans="2:3" ht="26.4">
      <c r="B11" s="5" t="s">
        <v>12</v>
      </c>
      <c r="C11" s="5" t="s">
        <v>13</v>
      </c>
    </row>
    <row r="12" spans="2:3" ht="26.4">
      <c r="B12" s="5" t="s">
        <v>14</v>
      </c>
      <c r="C12" s="5" t="s">
        <v>15</v>
      </c>
    </row>
    <row r="14" spans="2:3" ht="144.75" customHeight="1">
      <c r="B14" s="4" t="s">
        <v>16</v>
      </c>
      <c r="C14" s="5" t="s">
        <v>17</v>
      </c>
    </row>
    <row r="16" spans="2:3" ht="64.5" customHeight="1">
      <c r="B16" s="4" t="s">
        <v>18</v>
      </c>
      <c r="C16" s="5" t="s">
        <v>19</v>
      </c>
    </row>
    <row r="18" spans="2:3" ht="49.5" customHeight="1">
      <c r="B18" s="4" t="s">
        <v>20</v>
      </c>
      <c r="C18" s="5" t="s">
        <v>21</v>
      </c>
    </row>
    <row r="20" spans="2:3" ht="64.5" customHeight="1">
      <c r="B20" s="4" t="s">
        <v>22</v>
      </c>
      <c r="C20" s="5" t="s">
        <v>23</v>
      </c>
    </row>
    <row r="22" spans="2:3" ht="90" customHeight="1">
      <c r="B22" s="4" t="s">
        <v>24</v>
      </c>
      <c r="C22" s="5" t="s">
        <v>25</v>
      </c>
    </row>
    <row r="24" spans="2:3">
      <c r="B24" s="4" t="s">
        <v>26</v>
      </c>
    </row>
    <row r="25" spans="2:3">
      <c r="B25" s="7" t="s">
        <v>27</v>
      </c>
      <c r="C25" s="6" t="s">
        <v>28</v>
      </c>
    </row>
    <row r="26" spans="2:3" ht="26.4">
      <c r="B26" s="8" t="s">
        <v>29</v>
      </c>
      <c r="C26" s="5" t="s">
        <v>30</v>
      </c>
    </row>
    <row r="27" spans="2:3">
      <c r="B27" s="9" t="s">
        <v>31</v>
      </c>
      <c r="C27" s="6" t="s">
        <v>32</v>
      </c>
    </row>
    <row r="28" spans="2:3" ht="26.4">
      <c r="B28" s="10" t="s">
        <v>33</v>
      </c>
      <c r="C28" s="5" t="s">
        <v>34</v>
      </c>
    </row>
    <row r="31" spans="2:3" ht="26.4">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6640625" defaultRowHeight="14.4"/>
  <cols>
    <col min="1" max="1" width="3" customWidth="1"/>
    <col min="2" max="2" width="30" customWidth="1"/>
    <col min="3" max="3" width="70" customWidth="1"/>
  </cols>
  <sheetData>
    <row r="2" spans="2:3" ht="21">
      <c r="B2" s="3" t="s">
        <v>6</v>
      </c>
    </row>
    <row r="3" spans="2:3">
      <c r="B3" s="2" t="s">
        <v>37</v>
      </c>
    </row>
    <row r="5" spans="2:3" ht="19.5" customHeight="1">
      <c r="B5" s="11" t="s">
        <v>38</v>
      </c>
      <c r="C5" s="12" t="s">
        <v>39</v>
      </c>
    </row>
    <row r="6" spans="2:3" ht="19.5" customHeight="1">
      <c r="B6" s="11" t="s">
        <v>40</v>
      </c>
      <c r="C6" s="12" t="s">
        <v>41</v>
      </c>
    </row>
    <row r="7" spans="2:3" ht="19.5" customHeight="1">
      <c r="B7" s="11" t="s">
        <v>42</v>
      </c>
      <c r="C7" s="12" t="s">
        <v>43</v>
      </c>
    </row>
    <row r="8" spans="2:3" ht="19.5" customHeight="1">
      <c r="B8" s="11" t="s">
        <v>44</v>
      </c>
      <c r="C8" s="12" t="s">
        <v>45</v>
      </c>
    </row>
    <row r="9" spans="2:3" ht="19.5" customHeight="1">
      <c r="B9" s="11" t="s">
        <v>46</v>
      </c>
      <c r="C9" s="12" t="s">
        <v>47</v>
      </c>
    </row>
    <row r="10" spans="2:3" ht="31.5" customHeight="1">
      <c r="B10" s="11" t="s">
        <v>48</v>
      </c>
      <c r="C10" s="12" t="s">
        <v>49</v>
      </c>
    </row>
    <row r="11" spans="2:3" ht="19.5" customHeight="1">
      <c r="B11" s="11" t="s">
        <v>50</v>
      </c>
      <c r="C11" s="12" t="s">
        <v>51</v>
      </c>
    </row>
    <row r="12" spans="2:3" ht="31.5" customHeight="1">
      <c r="B12" s="11" t="s">
        <v>52</v>
      </c>
      <c r="C12" s="12"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6"/>
  <sheetViews>
    <sheetView showGridLines="0" tabSelected="1" zoomScale="65" zoomScaleNormal="65" workbookViewId="0">
      <pane xSplit="1" ySplit="3" topLeftCell="B20" activePane="bottomRight" state="frozen"/>
      <selection pane="topRight" activeCell="B1" sqref="B1"/>
      <selection pane="bottomLeft" activeCell="A4" sqref="A4"/>
      <selection pane="bottomRight" activeCell="C22" sqref="C22"/>
    </sheetView>
  </sheetViews>
  <sheetFormatPr defaultColWidth="8.6640625" defaultRowHeight="14.4"/>
  <cols>
    <col min="1" max="1" width="26" customWidth="1"/>
    <col min="2" max="21" width="14" customWidth="1"/>
    <col min="22" max="22" width="14.77734375" customWidth="1"/>
    <col min="23" max="23" width="12.6640625" customWidth="1"/>
    <col min="24" max="24" width="13.109375" customWidth="1"/>
    <col min="25" max="25" width="10.109375" customWidth="1"/>
    <col min="27" max="27" width="11.88671875" customWidth="1"/>
    <col min="30" max="30" width="15.6640625" customWidth="1"/>
    <col min="31" max="31" width="15.5546875" customWidth="1"/>
    <col min="32" max="32" width="14" customWidth="1"/>
    <col min="33" max="33" width="13" customWidth="1"/>
  </cols>
  <sheetData>
    <row r="1" spans="1:33" ht="21">
      <c r="A1" s="40" t="s">
        <v>8</v>
      </c>
      <c r="B1" s="40"/>
      <c r="C1" s="40"/>
      <c r="D1" s="40"/>
      <c r="E1" s="40"/>
      <c r="F1" s="40"/>
      <c r="G1" s="40"/>
      <c r="H1" s="40"/>
      <c r="I1" s="40"/>
      <c r="J1" s="40"/>
      <c r="K1" s="40"/>
      <c r="L1" s="40"/>
      <c r="M1" s="40"/>
      <c r="N1" s="40"/>
      <c r="O1" s="40"/>
      <c r="P1" s="40"/>
      <c r="Q1" s="40"/>
      <c r="R1" s="40"/>
      <c r="S1" s="40"/>
      <c r="T1" s="40"/>
      <c r="U1" s="40"/>
    </row>
    <row r="2" spans="1:33">
      <c r="A2" s="41" t="s">
        <v>54</v>
      </c>
      <c r="B2" s="41"/>
      <c r="C2" s="41"/>
      <c r="D2" s="41"/>
      <c r="E2" s="41"/>
      <c r="F2" s="41"/>
      <c r="G2" s="41"/>
      <c r="H2" s="41"/>
      <c r="I2" s="41"/>
      <c r="J2" s="41"/>
      <c r="K2" s="41"/>
      <c r="L2" s="41"/>
      <c r="M2" s="41"/>
      <c r="N2" s="41"/>
      <c r="O2" s="41"/>
      <c r="P2" s="41"/>
      <c r="Q2" s="41"/>
      <c r="R2" s="41"/>
      <c r="S2" s="41"/>
      <c r="T2" s="41"/>
      <c r="U2" s="41"/>
    </row>
    <row r="4" spans="1:33" ht="15" customHeight="1">
      <c r="A4" s="13" t="s">
        <v>55</v>
      </c>
      <c r="B4" s="39" t="s">
        <v>122</v>
      </c>
      <c r="C4" s="39"/>
      <c r="D4" s="39"/>
      <c r="E4" s="39"/>
      <c r="F4" s="39"/>
      <c r="G4" s="39"/>
      <c r="H4" s="39"/>
      <c r="I4" s="39"/>
      <c r="J4" s="39"/>
      <c r="K4" s="39"/>
      <c r="L4" s="39"/>
      <c r="M4" s="39"/>
      <c r="N4" s="39"/>
      <c r="O4" s="39"/>
      <c r="P4" s="39"/>
      <c r="Q4" s="39"/>
      <c r="R4" s="39"/>
      <c r="S4" s="39"/>
      <c r="T4" s="39"/>
      <c r="U4" s="39"/>
    </row>
    <row r="5" spans="1:33" ht="15" customHeight="1">
      <c r="A5" s="13" t="s">
        <v>56</v>
      </c>
      <c r="B5" s="38" t="s">
        <v>124</v>
      </c>
      <c r="C5" s="38"/>
      <c r="D5" s="38"/>
      <c r="E5" s="38"/>
      <c r="F5" s="38"/>
      <c r="G5" s="38"/>
      <c r="H5" s="38"/>
      <c r="I5" s="38"/>
      <c r="J5" s="38"/>
      <c r="K5" s="38"/>
      <c r="L5" s="38"/>
      <c r="M5" s="38"/>
      <c r="N5" s="38"/>
      <c r="O5" s="38"/>
      <c r="P5" s="38"/>
      <c r="Q5" s="38"/>
      <c r="R5" s="38"/>
      <c r="S5" s="38"/>
      <c r="T5" s="38"/>
      <c r="U5" s="38"/>
    </row>
    <row r="6" spans="1:33" ht="13.5" customHeight="1">
      <c r="A6" s="13" t="s">
        <v>57</v>
      </c>
      <c r="B6" s="1" t="s">
        <v>58</v>
      </c>
      <c r="C6" s="1" t="s">
        <v>59</v>
      </c>
      <c r="D6" s="42" t="s">
        <v>60</v>
      </c>
      <c r="E6" s="42"/>
      <c r="F6" s="42"/>
      <c r="G6" s="42"/>
      <c r="H6" s="42"/>
      <c r="I6" s="42"/>
      <c r="J6" s="42"/>
      <c r="K6" s="42"/>
      <c r="L6" s="42"/>
      <c r="M6" s="42"/>
      <c r="N6" s="42"/>
      <c r="O6" s="42"/>
      <c r="P6" s="42"/>
      <c r="Q6" s="42"/>
      <c r="R6" s="42"/>
      <c r="S6" s="42"/>
      <c r="T6" s="42"/>
      <c r="U6" s="42"/>
    </row>
    <row r="7" spans="1:33" ht="15" customHeight="1" thickBot="1">
      <c r="A7" s="13"/>
      <c r="B7" s="14" t="s">
        <v>123</v>
      </c>
      <c r="C7" s="14">
        <v>45.509</v>
      </c>
      <c r="D7" s="38" t="s">
        <v>125</v>
      </c>
      <c r="E7" s="38"/>
      <c r="F7" s="38"/>
      <c r="G7" s="38"/>
      <c r="H7" s="38"/>
      <c r="I7" s="38"/>
      <c r="J7" s="38"/>
      <c r="K7" s="38"/>
      <c r="L7" s="38"/>
      <c r="M7" s="38"/>
      <c r="N7" s="38"/>
      <c r="O7" s="38"/>
      <c r="P7" s="38"/>
      <c r="Q7" s="38"/>
      <c r="R7" s="38"/>
      <c r="S7" s="38"/>
      <c r="T7" s="38"/>
      <c r="U7" s="38"/>
    </row>
    <row r="8" spans="1:33" ht="15" customHeight="1">
      <c r="A8" s="15" t="s">
        <v>61</v>
      </c>
      <c r="B8" s="39" t="s">
        <v>126</v>
      </c>
      <c r="C8" s="39"/>
      <c r="D8" s="39"/>
      <c r="E8" s="39"/>
      <c r="F8" s="39"/>
      <c r="G8" s="39"/>
      <c r="H8" s="39"/>
      <c r="I8" s="39"/>
      <c r="J8" s="39"/>
      <c r="K8" s="39"/>
      <c r="L8" s="39"/>
      <c r="M8" s="39"/>
      <c r="N8" s="39"/>
      <c r="O8" s="39"/>
      <c r="P8" s="39"/>
      <c r="Q8" s="39"/>
      <c r="R8" s="39"/>
      <c r="S8" s="39"/>
      <c r="T8" s="39"/>
      <c r="U8" s="39"/>
    </row>
    <row r="9" spans="1:33" ht="15" customHeight="1">
      <c r="A9" s="15" t="s">
        <v>62</v>
      </c>
      <c r="B9" s="38" t="s">
        <v>127</v>
      </c>
      <c r="C9" s="38"/>
      <c r="D9" s="38"/>
      <c r="E9" s="38"/>
      <c r="F9" s="38"/>
      <c r="G9" s="38"/>
      <c r="H9" s="38"/>
      <c r="I9" s="38"/>
      <c r="J9" s="38"/>
      <c r="K9" s="38"/>
      <c r="L9" s="38"/>
      <c r="M9" s="38"/>
      <c r="N9" s="38"/>
      <c r="O9" s="38"/>
      <c r="P9" s="38"/>
      <c r="Q9" s="38"/>
      <c r="R9" s="38"/>
      <c r="S9" s="38"/>
      <c r="T9" s="38"/>
      <c r="U9" s="38"/>
    </row>
    <row r="10" spans="1:33" ht="13.5" customHeight="1">
      <c r="A10" s="15" t="s">
        <v>63</v>
      </c>
      <c r="B10" s="1" t="s">
        <v>64</v>
      </c>
      <c r="C10" s="1" t="s">
        <v>65</v>
      </c>
      <c r="D10" s="16"/>
      <c r="E10" s="16"/>
      <c r="F10" s="16"/>
      <c r="G10" s="16"/>
      <c r="H10" s="16"/>
      <c r="I10" s="16"/>
      <c r="J10" s="16"/>
      <c r="K10" s="16"/>
      <c r="L10" s="16"/>
      <c r="M10" s="16"/>
      <c r="N10" s="16"/>
      <c r="O10" s="16"/>
      <c r="P10" s="16"/>
      <c r="Q10" s="16"/>
      <c r="R10" s="16"/>
      <c r="S10" s="16"/>
      <c r="T10" s="16"/>
      <c r="U10" s="16"/>
    </row>
    <row r="11" spans="1:33">
      <c r="A11" s="15"/>
      <c r="B11" s="17">
        <v>288227</v>
      </c>
      <c r="C11" s="17">
        <v>32</v>
      </c>
      <c r="D11" s="18"/>
      <c r="E11" s="18"/>
      <c r="F11" s="18"/>
      <c r="G11" s="18"/>
      <c r="H11" s="18"/>
      <c r="I11" s="18"/>
      <c r="J11" s="18"/>
      <c r="K11" s="18"/>
      <c r="L11" s="18"/>
      <c r="M11" s="18"/>
      <c r="N11" s="18"/>
      <c r="O11" s="18"/>
      <c r="P11" s="18"/>
      <c r="Q11" s="18"/>
      <c r="R11" s="18"/>
      <c r="S11" s="18"/>
      <c r="T11" s="18"/>
      <c r="U11" s="18"/>
    </row>
    <row r="12" spans="1:33" ht="6" customHeight="1"/>
    <row r="13" spans="1:33" ht="26.4">
      <c r="A13" s="19" t="s">
        <v>66</v>
      </c>
      <c r="B13" s="30" t="s">
        <v>128</v>
      </c>
      <c r="C13" s="30" t="s">
        <v>129</v>
      </c>
      <c r="D13" s="30" t="s">
        <v>130</v>
      </c>
      <c r="E13" s="30" t="s">
        <v>131</v>
      </c>
      <c r="F13" s="30" t="s">
        <v>132</v>
      </c>
      <c r="G13" s="30" t="s">
        <v>133</v>
      </c>
      <c r="H13" s="30" t="s">
        <v>134</v>
      </c>
      <c r="I13" s="30" t="s">
        <v>135</v>
      </c>
      <c r="J13" s="30" t="s">
        <v>136</v>
      </c>
      <c r="K13" s="30" t="s">
        <v>137</v>
      </c>
      <c r="L13" s="30" t="s">
        <v>138</v>
      </c>
      <c r="M13" s="20" t="s">
        <v>139</v>
      </c>
      <c r="N13" s="20" t="s">
        <v>140</v>
      </c>
      <c r="O13" s="30" t="s">
        <v>141</v>
      </c>
      <c r="P13" s="30" t="s">
        <v>142</v>
      </c>
      <c r="Q13" s="20" t="s">
        <v>143</v>
      </c>
      <c r="R13" s="30" t="s">
        <v>144</v>
      </c>
      <c r="S13" s="30" t="s">
        <v>145</v>
      </c>
      <c r="T13" s="20" t="s">
        <v>146</v>
      </c>
      <c r="U13" s="20" t="s">
        <v>147</v>
      </c>
      <c r="V13" s="31" t="s">
        <v>148</v>
      </c>
      <c r="W13" s="31" t="s">
        <v>149</v>
      </c>
      <c r="X13" s="31" t="s">
        <v>150</v>
      </c>
      <c r="Y13" s="31" t="s">
        <v>151</v>
      </c>
      <c r="Z13" s="31" t="s">
        <v>152</v>
      </c>
      <c r="AA13" s="31" t="s">
        <v>153</v>
      </c>
      <c r="AB13" s="31" t="s">
        <v>154</v>
      </c>
      <c r="AC13" s="31" t="s">
        <v>155</v>
      </c>
      <c r="AD13" s="31" t="s">
        <v>156</v>
      </c>
      <c r="AE13" s="31" t="s">
        <v>157</v>
      </c>
      <c r="AF13" s="31" t="s">
        <v>158</v>
      </c>
      <c r="AG13" s="31" t="s">
        <v>159</v>
      </c>
    </row>
    <row r="14" spans="1:33" ht="118.8">
      <c r="A14" s="19" t="s">
        <v>68</v>
      </c>
      <c r="B14" s="32" t="s">
        <v>160</v>
      </c>
      <c r="C14" s="32" t="s">
        <v>161</v>
      </c>
      <c r="D14" s="32" t="s">
        <v>162</v>
      </c>
      <c r="E14" s="32" t="s">
        <v>163</v>
      </c>
      <c r="F14" s="32" t="s">
        <v>164</v>
      </c>
      <c r="G14" s="32" t="s">
        <v>165</v>
      </c>
      <c r="H14" s="32" t="s">
        <v>166</v>
      </c>
      <c r="I14" s="32" t="s">
        <v>167</v>
      </c>
      <c r="J14" s="32" t="s">
        <v>168</v>
      </c>
      <c r="K14" s="32" t="s">
        <v>169</v>
      </c>
      <c r="L14" s="32" t="s">
        <v>170</v>
      </c>
      <c r="M14" s="32" t="s">
        <v>171</v>
      </c>
      <c r="N14" s="32" t="s">
        <v>172</v>
      </c>
      <c r="O14" s="32" t="s">
        <v>173</v>
      </c>
      <c r="P14" s="32" t="s">
        <v>174</v>
      </c>
      <c r="Q14" s="32" t="s">
        <v>175</v>
      </c>
      <c r="R14" s="32" t="s">
        <v>176</v>
      </c>
      <c r="S14" s="32" t="s">
        <v>177</v>
      </c>
      <c r="T14" s="32" t="s">
        <v>178</v>
      </c>
      <c r="U14" s="32" t="s">
        <v>179</v>
      </c>
      <c r="V14" s="33" t="s">
        <v>180</v>
      </c>
      <c r="W14" s="33" t="s">
        <v>181</v>
      </c>
      <c r="X14" s="33" t="s">
        <v>182</v>
      </c>
      <c r="Y14" s="33" t="s">
        <v>183</v>
      </c>
      <c r="Z14" s="33" t="s">
        <v>184</v>
      </c>
      <c r="AA14" s="33" t="s">
        <v>185</v>
      </c>
      <c r="AB14" s="33" t="s">
        <v>186</v>
      </c>
      <c r="AC14" s="33" t="s">
        <v>187</v>
      </c>
      <c r="AD14" s="33" t="s">
        <v>188</v>
      </c>
      <c r="AE14" s="33" t="s">
        <v>189</v>
      </c>
      <c r="AF14" s="33" t="s">
        <v>190</v>
      </c>
      <c r="AG14" s="33" t="s">
        <v>191</v>
      </c>
    </row>
    <row r="15" spans="1:33" ht="39.6">
      <c r="A15" s="19" t="s">
        <v>69</v>
      </c>
      <c r="B15" s="21" t="s">
        <v>70</v>
      </c>
      <c r="C15" s="21" t="s">
        <v>70</v>
      </c>
      <c r="D15" s="21" t="s">
        <v>71</v>
      </c>
      <c r="E15" s="21" t="s">
        <v>71</v>
      </c>
      <c r="F15" s="21" t="s">
        <v>71</v>
      </c>
      <c r="G15" s="21" t="s">
        <v>192</v>
      </c>
      <c r="H15" s="34" t="s">
        <v>192</v>
      </c>
      <c r="I15" s="21" t="s">
        <v>192</v>
      </c>
      <c r="J15" s="21" t="s">
        <v>192</v>
      </c>
      <c r="K15" s="34" t="s">
        <v>192</v>
      </c>
      <c r="L15" s="21" t="s">
        <v>71</v>
      </c>
      <c r="M15" s="21" t="s">
        <v>71</v>
      </c>
      <c r="N15" s="21" t="s">
        <v>71</v>
      </c>
      <c r="O15" s="21" t="s">
        <v>71</v>
      </c>
      <c r="P15" s="21" t="s">
        <v>193</v>
      </c>
      <c r="Q15" s="21" t="s">
        <v>193</v>
      </c>
      <c r="R15" s="21" t="s">
        <v>193</v>
      </c>
      <c r="S15" s="21" t="s">
        <v>193</v>
      </c>
      <c r="T15" s="21" t="s">
        <v>193</v>
      </c>
      <c r="U15" s="21" t="s">
        <v>193</v>
      </c>
      <c r="V15" s="34" t="s">
        <v>192</v>
      </c>
      <c r="W15" s="34" t="s">
        <v>192</v>
      </c>
      <c r="X15" s="34" t="s">
        <v>192</v>
      </c>
      <c r="Y15" s="34" t="s">
        <v>192</v>
      </c>
      <c r="Z15" s="34" t="s">
        <v>192</v>
      </c>
      <c r="AA15" s="34" t="s">
        <v>71</v>
      </c>
      <c r="AB15" s="34" t="s">
        <v>193</v>
      </c>
      <c r="AC15" s="34" t="s">
        <v>194</v>
      </c>
      <c r="AD15" s="34" t="s">
        <v>70</v>
      </c>
      <c r="AE15" s="34" t="s">
        <v>70</v>
      </c>
      <c r="AF15" s="34" t="s">
        <v>71</v>
      </c>
      <c r="AG15" s="34" t="s">
        <v>71</v>
      </c>
    </row>
    <row r="16" spans="1:33">
      <c r="A16" s="19" t="s">
        <v>72</v>
      </c>
      <c r="B16" s="21" t="s">
        <v>75</v>
      </c>
      <c r="C16" s="21" t="s">
        <v>75</v>
      </c>
      <c r="D16" s="21" t="s">
        <v>74</v>
      </c>
      <c r="E16" s="21" t="s">
        <v>74</v>
      </c>
      <c r="F16" s="21" t="s">
        <v>74</v>
      </c>
      <c r="G16" s="21" t="s">
        <v>74</v>
      </c>
      <c r="H16" s="21" t="s">
        <v>74</v>
      </c>
      <c r="I16" s="21" t="s">
        <v>74</v>
      </c>
      <c r="J16" s="21" t="s">
        <v>74</v>
      </c>
      <c r="K16" s="21" t="s">
        <v>74</v>
      </c>
      <c r="L16" s="21" t="s">
        <v>74</v>
      </c>
      <c r="M16" s="21" t="s">
        <v>74</v>
      </c>
      <c r="N16" s="21" t="s">
        <v>74</v>
      </c>
      <c r="O16" s="21" t="s">
        <v>74</v>
      </c>
      <c r="P16" s="21" t="s">
        <v>74</v>
      </c>
      <c r="Q16" s="21" t="s">
        <v>74</v>
      </c>
      <c r="R16" s="21" t="s">
        <v>74</v>
      </c>
      <c r="S16" s="21" t="s">
        <v>74</v>
      </c>
      <c r="T16" s="21" t="s">
        <v>74</v>
      </c>
      <c r="U16" s="21" t="s">
        <v>74</v>
      </c>
      <c r="V16" s="34" t="s">
        <v>74</v>
      </c>
      <c r="W16" s="34" t="s">
        <v>74</v>
      </c>
      <c r="X16" s="34" t="s">
        <v>74</v>
      </c>
      <c r="Y16" s="34" t="s">
        <v>74</v>
      </c>
      <c r="Z16" s="34" t="s">
        <v>74</v>
      </c>
      <c r="AA16" s="34" t="s">
        <v>74</v>
      </c>
      <c r="AB16" s="34" t="s">
        <v>74</v>
      </c>
      <c r="AC16" s="34" t="s">
        <v>74</v>
      </c>
      <c r="AD16" s="34" t="s">
        <v>75</v>
      </c>
      <c r="AE16" s="34" t="s">
        <v>75</v>
      </c>
      <c r="AF16" s="34" t="s">
        <v>74</v>
      </c>
      <c r="AG16" s="34" t="s">
        <v>74</v>
      </c>
    </row>
    <row r="17" spans="1:33" ht="66">
      <c r="A17" s="22" t="s">
        <v>76</v>
      </c>
      <c r="B17" s="21" t="s">
        <v>195</v>
      </c>
      <c r="C17" s="21" t="s">
        <v>196</v>
      </c>
      <c r="D17" s="21" t="s">
        <v>197</v>
      </c>
      <c r="E17" s="21" t="s">
        <v>198</v>
      </c>
      <c r="F17" s="21" t="s">
        <v>199</v>
      </c>
      <c r="G17" s="21" t="s">
        <v>200</v>
      </c>
      <c r="H17" s="21" t="s">
        <v>201</v>
      </c>
      <c r="I17" s="21" t="s">
        <v>202</v>
      </c>
      <c r="J17" s="21" t="s">
        <v>200</v>
      </c>
      <c r="K17" s="21" t="s">
        <v>202</v>
      </c>
      <c r="L17" s="21" t="s">
        <v>203</v>
      </c>
      <c r="M17" s="21" t="s">
        <v>204</v>
      </c>
      <c r="N17" s="21" t="s">
        <v>205</v>
      </c>
      <c r="O17" s="21" t="s">
        <v>206</v>
      </c>
      <c r="P17" s="21" t="s">
        <v>207</v>
      </c>
      <c r="Q17" s="21" t="s">
        <v>207</v>
      </c>
      <c r="R17" s="21" t="s">
        <v>207</v>
      </c>
      <c r="S17" s="21" t="s">
        <v>207</v>
      </c>
      <c r="T17" s="21" t="s">
        <v>207</v>
      </c>
      <c r="U17" s="21" t="s">
        <v>207</v>
      </c>
      <c r="V17" s="34" t="s">
        <v>200</v>
      </c>
      <c r="W17" s="34" t="s">
        <v>200</v>
      </c>
      <c r="X17" s="34" t="s">
        <v>200</v>
      </c>
      <c r="Y17" s="34" t="s">
        <v>200</v>
      </c>
      <c r="Z17" s="34" t="s">
        <v>208</v>
      </c>
      <c r="AA17" s="34" t="s">
        <v>209</v>
      </c>
      <c r="AB17" s="34" t="s">
        <v>207</v>
      </c>
      <c r="AC17" s="34" t="s">
        <v>210</v>
      </c>
      <c r="AD17" s="34" t="s">
        <v>201</v>
      </c>
      <c r="AE17" s="34" t="s">
        <v>201</v>
      </c>
      <c r="AF17" s="34" t="s">
        <v>211</v>
      </c>
      <c r="AG17" s="34" t="s">
        <v>212</v>
      </c>
    </row>
    <row r="18" spans="1:33">
      <c r="A18" s="22" t="s">
        <v>77</v>
      </c>
      <c r="B18" s="23">
        <v>19</v>
      </c>
      <c r="C18" s="23">
        <v>1212</v>
      </c>
      <c r="D18" s="23">
        <v>727</v>
      </c>
      <c r="E18" s="23">
        <v>568</v>
      </c>
      <c r="F18" s="23">
        <v>715</v>
      </c>
      <c r="G18" s="23">
        <v>20</v>
      </c>
      <c r="H18" s="23">
        <v>11</v>
      </c>
      <c r="I18" s="23">
        <v>7</v>
      </c>
      <c r="J18" s="23">
        <v>7</v>
      </c>
      <c r="K18" s="23">
        <v>8</v>
      </c>
      <c r="L18" s="23">
        <v>2</v>
      </c>
      <c r="M18" s="23">
        <v>21</v>
      </c>
      <c r="N18" s="23">
        <v>676</v>
      </c>
      <c r="O18" s="23">
        <v>1129</v>
      </c>
      <c r="P18" s="23">
        <v>2</v>
      </c>
      <c r="Q18" s="23">
        <v>2</v>
      </c>
      <c r="R18" s="23">
        <v>2</v>
      </c>
      <c r="S18" s="23">
        <v>2</v>
      </c>
      <c r="T18" s="23">
        <v>2</v>
      </c>
      <c r="U18" s="23">
        <v>2</v>
      </c>
      <c r="V18" s="35">
        <v>6</v>
      </c>
      <c r="W18" s="35">
        <v>5</v>
      </c>
      <c r="X18" s="35">
        <v>6</v>
      </c>
      <c r="Y18" s="35">
        <v>5</v>
      </c>
      <c r="Z18" s="35">
        <v>2</v>
      </c>
      <c r="AA18" s="35">
        <v>10</v>
      </c>
      <c r="AB18" s="35">
        <v>2</v>
      </c>
      <c r="AC18" s="35">
        <v>6</v>
      </c>
      <c r="AD18" s="35">
        <v>14</v>
      </c>
      <c r="AE18" s="35">
        <v>14</v>
      </c>
      <c r="AF18" s="35">
        <v>14</v>
      </c>
      <c r="AG18" s="35">
        <v>14</v>
      </c>
    </row>
    <row r="19" spans="1:33" ht="132">
      <c r="A19" s="22" t="s">
        <v>79</v>
      </c>
      <c r="B19" s="21" t="s">
        <v>213</v>
      </c>
      <c r="C19" s="21" t="s">
        <v>78</v>
      </c>
      <c r="D19" s="21" t="s">
        <v>78</v>
      </c>
      <c r="E19" s="34" t="s">
        <v>78</v>
      </c>
      <c r="F19" s="21" t="s">
        <v>78</v>
      </c>
      <c r="G19" s="21" t="s">
        <v>214</v>
      </c>
      <c r="H19" s="21" t="s">
        <v>215</v>
      </c>
      <c r="I19" s="21" t="s">
        <v>216</v>
      </c>
      <c r="J19" s="21" t="s">
        <v>217</v>
      </c>
      <c r="K19" s="21" t="s">
        <v>218</v>
      </c>
      <c r="L19" s="21" t="s">
        <v>203</v>
      </c>
      <c r="M19" s="21" t="s">
        <v>78</v>
      </c>
      <c r="N19" s="21" t="s">
        <v>78</v>
      </c>
      <c r="O19" s="21" t="s">
        <v>78</v>
      </c>
      <c r="P19" s="21" t="s">
        <v>207</v>
      </c>
      <c r="Q19" s="21" t="s">
        <v>207</v>
      </c>
      <c r="R19" s="21" t="s">
        <v>207</v>
      </c>
      <c r="S19" s="21" t="s">
        <v>207</v>
      </c>
      <c r="T19" s="21" t="s">
        <v>207</v>
      </c>
      <c r="U19" s="21" t="s">
        <v>207</v>
      </c>
      <c r="V19" s="34" t="s">
        <v>219</v>
      </c>
      <c r="W19" s="34" t="s">
        <v>220</v>
      </c>
      <c r="X19" s="34" t="s">
        <v>219</v>
      </c>
      <c r="Y19" s="34" t="s">
        <v>221</v>
      </c>
      <c r="Z19" s="34" t="s">
        <v>208</v>
      </c>
      <c r="AA19" s="34" t="s">
        <v>78</v>
      </c>
      <c r="AB19" s="34" t="s">
        <v>207</v>
      </c>
      <c r="AC19" s="34" t="s">
        <v>222</v>
      </c>
      <c r="AD19" s="34" t="s">
        <v>78</v>
      </c>
      <c r="AE19" s="34" t="s">
        <v>78</v>
      </c>
      <c r="AF19" s="34" t="s">
        <v>78</v>
      </c>
      <c r="AG19" s="34" t="s">
        <v>78</v>
      </c>
    </row>
    <row r="20" spans="1:33">
      <c r="A20" s="22" t="s">
        <v>80</v>
      </c>
      <c r="B20" s="21" t="s">
        <v>81</v>
      </c>
      <c r="C20" s="21" t="s">
        <v>81</v>
      </c>
      <c r="D20" s="21" t="s">
        <v>81</v>
      </c>
      <c r="E20" s="36">
        <v>0</v>
      </c>
      <c r="F20" s="21" t="s">
        <v>81</v>
      </c>
      <c r="G20" s="36">
        <v>0</v>
      </c>
      <c r="H20" s="36">
        <v>0</v>
      </c>
      <c r="I20" s="36">
        <v>0</v>
      </c>
      <c r="J20" s="36">
        <v>0</v>
      </c>
      <c r="K20" s="36">
        <v>0</v>
      </c>
      <c r="L20" s="37">
        <v>8.0000000000000004E-4</v>
      </c>
      <c r="M20" s="37">
        <v>1.1999999999999999E-3</v>
      </c>
      <c r="N20" s="37">
        <v>0.95020000000000004</v>
      </c>
      <c r="O20" s="37">
        <v>0.95020000000000004</v>
      </c>
      <c r="P20" s="36">
        <v>0</v>
      </c>
      <c r="Q20" s="36">
        <v>0</v>
      </c>
      <c r="R20" s="36">
        <v>0</v>
      </c>
      <c r="S20" s="36">
        <v>0</v>
      </c>
      <c r="T20" s="36">
        <v>0</v>
      </c>
      <c r="U20" s="36">
        <v>0</v>
      </c>
      <c r="V20" s="36">
        <v>0</v>
      </c>
      <c r="W20" s="36">
        <v>0</v>
      </c>
      <c r="X20" s="36">
        <v>0</v>
      </c>
      <c r="Y20" s="36">
        <v>0</v>
      </c>
      <c r="Z20" s="36">
        <v>0</v>
      </c>
      <c r="AA20" s="36">
        <v>0.95020000000000004</v>
      </c>
      <c r="AB20" s="36">
        <v>0</v>
      </c>
      <c r="AC20" s="36">
        <v>0</v>
      </c>
      <c r="AD20" s="36">
        <v>0</v>
      </c>
      <c r="AE20" s="36">
        <v>0</v>
      </c>
      <c r="AF20" s="36">
        <v>0</v>
      </c>
      <c r="AG20" s="36">
        <v>0</v>
      </c>
    </row>
    <row r="21" spans="1:33" ht="184.8">
      <c r="A21" s="22" t="s">
        <v>82</v>
      </c>
      <c r="B21" s="21" t="s">
        <v>83</v>
      </c>
      <c r="C21" s="21" t="s">
        <v>83</v>
      </c>
      <c r="D21" s="21" t="s">
        <v>83</v>
      </c>
      <c r="E21" s="21" t="s">
        <v>83</v>
      </c>
      <c r="F21" s="21" t="s">
        <v>83</v>
      </c>
      <c r="G21" s="21" t="s">
        <v>223</v>
      </c>
      <c r="H21" s="21" t="s">
        <v>224</v>
      </c>
      <c r="I21" s="21" t="s">
        <v>225</v>
      </c>
      <c r="J21" s="21" t="s">
        <v>225</v>
      </c>
      <c r="K21" s="21" t="s">
        <v>226</v>
      </c>
      <c r="L21" s="21" t="s">
        <v>227</v>
      </c>
      <c r="M21" s="21" t="s">
        <v>227</v>
      </c>
      <c r="N21" s="21" t="s">
        <v>228</v>
      </c>
      <c r="O21" s="21" t="s">
        <v>229</v>
      </c>
      <c r="P21" s="21" t="s">
        <v>231</v>
      </c>
      <c r="Q21" s="21" t="s">
        <v>231</v>
      </c>
      <c r="R21" s="21" t="s">
        <v>231</v>
      </c>
      <c r="S21" s="21" t="s">
        <v>231</v>
      </c>
      <c r="T21" s="21" t="s">
        <v>231</v>
      </c>
      <c r="U21" s="21" t="s">
        <v>231</v>
      </c>
      <c r="V21" s="34" t="s">
        <v>232</v>
      </c>
      <c r="W21" s="34" t="s">
        <v>233</v>
      </c>
      <c r="X21" s="34" t="s">
        <v>234</v>
      </c>
      <c r="Y21" s="34" t="s">
        <v>235</v>
      </c>
      <c r="Z21" s="34" t="s">
        <v>236</v>
      </c>
      <c r="AA21" s="21" t="s">
        <v>230</v>
      </c>
      <c r="AB21" s="34" t="s">
        <v>231</v>
      </c>
      <c r="AC21" s="34" t="s">
        <v>237</v>
      </c>
      <c r="AD21" s="34" t="s">
        <v>238</v>
      </c>
      <c r="AE21" s="34" t="s">
        <v>238</v>
      </c>
      <c r="AF21" s="34" t="s">
        <v>239</v>
      </c>
      <c r="AG21" s="34" t="s">
        <v>239</v>
      </c>
    </row>
    <row r="22" spans="1:33" ht="9.75" customHeight="1"/>
    <row r="23" spans="1:33" ht="9.75" customHeight="1"/>
    <row r="25" spans="1:33" ht="15" thickBot="1"/>
    <row r="26" spans="1:33" ht="14.4" customHeight="1">
      <c r="A26" s="13" t="s">
        <v>55</v>
      </c>
      <c r="B26" s="39" t="s">
        <v>400</v>
      </c>
      <c r="C26" s="43"/>
      <c r="D26" s="43"/>
      <c r="E26" s="43"/>
      <c r="F26" s="43"/>
      <c r="G26" s="43"/>
      <c r="H26" s="43"/>
      <c r="I26" s="43"/>
      <c r="J26" s="43"/>
      <c r="K26" s="43"/>
      <c r="L26" s="43"/>
      <c r="M26" s="43"/>
      <c r="N26" s="43"/>
      <c r="O26" s="43"/>
      <c r="P26" s="43"/>
      <c r="Q26" s="43"/>
      <c r="R26" s="43"/>
      <c r="S26" s="43"/>
      <c r="T26" s="43"/>
      <c r="U26" s="44"/>
    </row>
    <row r="27" spans="1:33" ht="14.4" customHeight="1">
      <c r="A27" s="13" t="s">
        <v>56</v>
      </c>
      <c r="B27" s="38" t="s">
        <v>401</v>
      </c>
      <c r="C27" s="45"/>
      <c r="D27" s="45"/>
      <c r="E27" s="45"/>
      <c r="F27" s="45"/>
      <c r="G27" s="45"/>
      <c r="H27" s="45"/>
      <c r="I27" s="45"/>
      <c r="J27" s="45"/>
      <c r="K27" s="45"/>
      <c r="L27" s="45"/>
      <c r="M27" s="45"/>
      <c r="N27" s="45"/>
      <c r="O27" s="45"/>
      <c r="P27" s="45"/>
      <c r="Q27" s="45"/>
      <c r="R27" s="45"/>
      <c r="S27" s="45"/>
      <c r="T27" s="45"/>
      <c r="U27" s="46"/>
    </row>
    <row r="28" spans="1:33">
      <c r="A28" s="13" t="s">
        <v>57</v>
      </c>
      <c r="B28" s="1" t="s">
        <v>58</v>
      </c>
      <c r="C28" s="1" t="s">
        <v>59</v>
      </c>
      <c r="D28" s="42" t="s">
        <v>60</v>
      </c>
      <c r="E28" s="45"/>
      <c r="F28" s="45"/>
      <c r="G28" s="45"/>
      <c r="H28" s="45"/>
      <c r="I28" s="45"/>
      <c r="J28" s="45"/>
      <c r="K28" s="45"/>
      <c r="L28" s="45"/>
      <c r="M28" s="45"/>
      <c r="N28" s="45"/>
      <c r="O28" s="45"/>
      <c r="P28" s="45"/>
      <c r="Q28" s="45"/>
      <c r="R28" s="45"/>
      <c r="S28" s="45"/>
      <c r="T28" s="45"/>
      <c r="U28" s="46"/>
    </row>
    <row r="29" spans="1:33" ht="15" customHeight="1" thickBot="1">
      <c r="A29" s="13"/>
      <c r="B29" s="14" t="s">
        <v>343</v>
      </c>
      <c r="C29" s="14" t="s">
        <v>402</v>
      </c>
      <c r="D29" s="38" t="s">
        <v>345</v>
      </c>
      <c r="E29" s="45"/>
      <c r="F29" s="45"/>
      <c r="G29" s="45"/>
      <c r="H29" s="45"/>
      <c r="I29" s="45"/>
      <c r="J29" s="45"/>
      <c r="K29" s="45"/>
      <c r="L29" s="45"/>
      <c r="M29" s="45"/>
      <c r="N29" s="45"/>
      <c r="O29" s="45"/>
      <c r="P29" s="45"/>
      <c r="Q29" s="45"/>
      <c r="R29" s="45"/>
      <c r="S29" s="45"/>
      <c r="T29" s="45"/>
      <c r="U29" s="46"/>
    </row>
    <row r="30" spans="1:33">
      <c r="A30" s="15" t="s">
        <v>61</v>
      </c>
      <c r="B30" s="39" t="s">
        <v>403</v>
      </c>
      <c r="C30" s="43"/>
      <c r="D30" s="43"/>
      <c r="E30" s="43"/>
      <c r="F30" s="43"/>
      <c r="G30" s="43"/>
      <c r="H30" s="43"/>
      <c r="I30" s="43"/>
      <c r="J30" s="43"/>
      <c r="K30" s="43"/>
      <c r="L30" s="43"/>
      <c r="M30" s="43"/>
      <c r="N30" s="43"/>
      <c r="O30" s="43"/>
      <c r="P30" s="43"/>
      <c r="Q30" s="43"/>
      <c r="R30" s="43"/>
      <c r="S30" s="43"/>
      <c r="T30" s="43"/>
      <c r="U30" s="44"/>
    </row>
    <row r="31" spans="1:33" ht="14.4" customHeight="1">
      <c r="A31" s="15" t="s">
        <v>62</v>
      </c>
      <c r="B31" s="38" t="s">
        <v>404</v>
      </c>
      <c r="C31" s="45"/>
      <c r="D31" s="45"/>
      <c r="E31" s="45"/>
      <c r="F31" s="45"/>
      <c r="G31" s="45"/>
      <c r="H31" s="45"/>
      <c r="I31" s="45"/>
      <c r="J31" s="45"/>
      <c r="K31" s="45"/>
      <c r="L31" s="45"/>
      <c r="M31" s="45"/>
      <c r="N31" s="45"/>
      <c r="O31" s="45"/>
      <c r="P31" s="45"/>
      <c r="Q31" s="45"/>
      <c r="R31" s="45"/>
      <c r="S31" s="45"/>
      <c r="T31" s="45"/>
      <c r="U31" s="46"/>
    </row>
    <row r="32" spans="1:33">
      <c r="A32" s="15" t="s">
        <v>63</v>
      </c>
      <c r="B32" s="1" t="s">
        <v>64</v>
      </c>
      <c r="C32" s="1" t="s">
        <v>65</v>
      </c>
      <c r="D32" s="16"/>
      <c r="E32" s="16"/>
      <c r="F32" s="16"/>
      <c r="G32" s="16"/>
      <c r="H32" s="16"/>
      <c r="I32" s="16"/>
      <c r="J32" s="16"/>
      <c r="K32" s="16"/>
      <c r="L32" s="16"/>
      <c r="M32" s="16"/>
      <c r="N32" s="16"/>
      <c r="O32" s="16"/>
      <c r="P32" s="16"/>
      <c r="Q32" s="16"/>
      <c r="R32" s="16"/>
      <c r="S32" s="16"/>
      <c r="T32" s="16"/>
      <c r="U32" s="16"/>
    </row>
    <row r="33" spans="1:29">
      <c r="A33" s="15"/>
      <c r="B33" s="17">
        <v>1212</v>
      </c>
      <c r="C33" s="17">
        <v>28</v>
      </c>
      <c r="D33" s="18"/>
      <c r="E33" s="18"/>
      <c r="F33" s="18"/>
      <c r="G33" s="18"/>
      <c r="H33" s="18"/>
      <c r="I33" s="18"/>
      <c r="J33" s="18"/>
      <c r="K33" s="18"/>
      <c r="L33" s="18"/>
      <c r="M33" s="18"/>
      <c r="N33" s="18"/>
      <c r="O33" s="18"/>
      <c r="P33" s="18"/>
      <c r="Q33" s="18"/>
      <c r="R33" s="18"/>
      <c r="S33" s="18"/>
      <c r="T33" s="18"/>
      <c r="U33" s="18"/>
    </row>
    <row r="35" spans="1:29" ht="39.6">
      <c r="A35" s="19" t="s">
        <v>66</v>
      </c>
      <c r="B35" s="20" t="s">
        <v>129</v>
      </c>
      <c r="C35" s="20" t="s">
        <v>128</v>
      </c>
      <c r="D35" s="20" t="s">
        <v>240</v>
      </c>
      <c r="E35" s="20" t="s">
        <v>241</v>
      </c>
      <c r="F35" s="20" t="s">
        <v>242</v>
      </c>
      <c r="G35" s="20" t="s">
        <v>243</v>
      </c>
      <c r="H35" s="20" t="s">
        <v>244</v>
      </c>
      <c r="I35" s="20" t="s">
        <v>245</v>
      </c>
      <c r="J35" s="20" t="s">
        <v>246</v>
      </c>
      <c r="K35" s="20" t="s">
        <v>247</v>
      </c>
      <c r="L35" s="20" t="s">
        <v>248</v>
      </c>
      <c r="M35" s="20" t="s">
        <v>249</v>
      </c>
      <c r="N35" s="20" t="s">
        <v>250</v>
      </c>
      <c r="O35" s="20" t="s">
        <v>251</v>
      </c>
      <c r="P35" s="20" t="s">
        <v>252</v>
      </c>
      <c r="Q35" s="20" t="s">
        <v>253</v>
      </c>
      <c r="R35" s="20" t="s">
        <v>254</v>
      </c>
      <c r="S35" s="20" t="s">
        <v>255</v>
      </c>
      <c r="T35" s="20" t="s">
        <v>256</v>
      </c>
      <c r="U35" s="20" t="s">
        <v>257</v>
      </c>
      <c r="V35" s="20" t="s">
        <v>258</v>
      </c>
      <c r="W35" s="20" t="s">
        <v>259</v>
      </c>
      <c r="X35" s="20" t="s">
        <v>260</v>
      </c>
      <c r="Y35" s="20" t="s">
        <v>261</v>
      </c>
      <c r="Z35" s="20" t="s">
        <v>262</v>
      </c>
      <c r="AA35" s="20" t="s">
        <v>263</v>
      </c>
      <c r="AB35" s="20" t="s">
        <v>264</v>
      </c>
      <c r="AC35" s="20" t="s">
        <v>265</v>
      </c>
    </row>
    <row r="36" spans="1:29" ht="66">
      <c r="A36" s="19" t="s">
        <v>68</v>
      </c>
      <c r="B36" s="21" t="s">
        <v>266</v>
      </c>
      <c r="C36" s="21" t="s">
        <v>270</v>
      </c>
      <c r="D36" s="21" t="s">
        <v>274</v>
      </c>
      <c r="E36" s="21" t="s">
        <v>276</v>
      </c>
      <c r="F36" s="21" t="s">
        <v>280</v>
      </c>
      <c r="G36" s="21" t="s">
        <v>283</v>
      </c>
      <c r="H36" s="21" t="s">
        <v>286</v>
      </c>
      <c r="I36" s="21" t="s">
        <v>287</v>
      </c>
      <c r="J36" s="21" t="s">
        <v>288</v>
      </c>
      <c r="K36" s="21" t="s">
        <v>289</v>
      </c>
      <c r="L36" s="21" t="s">
        <v>290</v>
      </c>
      <c r="M36" s="21" t="s">
        <v>291</v>
      </c>
      <c r="N36" s="21" t="s">
        <v>292</v>
      </c>
      <c r="O36" s="21" t="s">
        <v>293</v>
      </c>
      <c r="P36" s="21" t="s">
        <v>294</v>
      </c>
      <c r="Q36" s="21" t="s">
        <v>295</v>
      </c>
      <c r="R36" s="21" t="s">
        <v>296</v>
      </c>
      <c r="S36" s="21" t="s">
        <v>297</v>
      </c>
      <c r="T36" s="21" t="s">
        <v>298</v>
      </c>
      <c r="U36" s="21" t="s">
        <v>299</v>
      </c>
      <c r="V36" s="21" t="s">
        <v>300</v>
      </c>
      <c r="W36" s="21" t="s">
        <v>301</v>
      </c>
      <c r="X36" s="21" t="s">
        <v>302</v>
      </c>
      <c r="Y36" s="21" t="s">
        <v>303</v>
      </c>
      <c r="Z36" s="21" t="s">
        <v>304</v>
      </c>
      <c r="AA36" s="21" t="s">
        <v>305</v>
      </c>
      <c r="AB36" s="21" t="s">
        <v>306</v>
      </c>
      <c r="AC36" s="21" t="s">
        <v>307</v>
      </c>
    </row>
    <row r="37" spans="1:29">
      <c r="A37" s="19" t="s">
        <v>69</v>
      </c>
      <c r="B37" s="21" t="s">
        <v>267</v>
      </c>
      <c r="C37" s="21" t="s">
        <v>267</v>
      </c>
      <c r="D37" s="21" t="s">
        <v>267</v>
      </c>
      <c r="E37" s="21" t="s">
        <v>277</v>
      </c>
      <c r="F37" s="21" t="s">
        <v>121</v>
      </c>
      <c r="G37" s="21" t="s">
        <v>277</v>
      </c>
      <c r="H37" s="21" t="s">
        <v>267</v>
      </c>
      <c r="I37" s="21" t="s">
        <v>277</v>
      </c>
      <c r="J37" s="21" t="s">
        <v>277</v>
      </c>
      <c r="K37" s="21" t="s">
        <v>277</v>
      </c>
      <c r="L37" s="21" t="s">
        <v>267</v>
      </c>
      <c r="M37" s="21" t="s">
        <v>277</v>
      </c>
      <c r="N37" s="21" t="s">
        <v>277</v>
      </c>
      <c r="O37" s="21" t="s">
        <v>277</v>
      </c>
      <c r="P37" s="21" t="s">
        <v>277</v>
      </c>
      <c r="Q37" s="21" t="s">
        <v>277</v>
      </c>
      <c r="R37" s="21" t="s">
        <v>277</v>
      </c>
      <c r="S37" s="21" t="s">
        <v>277</v>
      </c>
      <c r="T37" s="21" t="s">
        <v>277</v>
      </c>
      <c r="U37" s="21" t="s">
        <v>267</v>
      </c>
      <c r="V37" s="21" t="s">
        <v>267</v>
      </c>
      <c r="W37" s="21" t="s">
        <v>277</v>
      </c>
      <c r="X37" s="21" t="s">
        <v>277</v>
      </c>
      <c r="Y37" s="21" t="s">
        <v>267</v>
      </c>
      <c r="Z37" s="21" t="s">
        <v>267</v>
      </c>
      <c r="AA37" s="21" t="s">
        <v>267</v>
      </c>
      <c r="AB37" s="21" t="s">
        <v>267</v>
      </c>
      <c r="AC37" s="21" t="s">
        <v>267</v>
      </c>
    </row>
    <row r="38" spans="1:29" ht="26.4">
      <c r="A38" s="19" t="s">
        <v>72</v>
      </c>
      <c r="B38" s="21" t="s">
        <v>73</v>
      </c>
      <c r="C38" s="21" t="s">
        <v>75</v>
      </c>
      <c r="D38" s="21" t="s">
        <v>74</v>
      </c>
      <c r="E38" s="21" t="s">
        <v>74</v>
      </c>
      <c r="F38" s="21" t="s">
        <v>74</v>
      </c>
      <c r="G38" s="21" t="s">
        <v>74</v>
      </c>
      <c r="H38" s="21" t="s">
        <v>74</v>
      </c>
      <c r="I38" s="21" t="s">
        <v>74</v>
      </c>
      <c r="J38" s="21" t="s">
        <v>74</v>
      </c>
      <c r="K38" s="21" t="s">
        <v>74</v>
      </c>
      <c r="L38" s="21" t="s">
        <v>74</v>
      </c>
      <c r="M38" s="21" t="s">
        <v>74</v>
      </c>
      <c r="N38" s="21" t="s">
        <v>74</v>
      </c>
      <c r="O38" s="21" t="s">
        <v>74</v>
      </c>
      <c r="P38" s="21" t="s">
        <v>74</v>
      </c>
      <c r="Q38" s="21" t="s">
        <v>74</v>
      </c>
      <c r="R38" s="21" t="s">
        <v>74</v>
      </c>
      <c r="S38" s="21" t="s">
        <v>74</v>
      </c>
      <c r="T38" s="21" t="s">
        <v>74</v>
      </c>
      <c r="U38" s="21" t="s">
        <v>74</v>
      </c>
      <c r="V38" s="21" t="s">
        <v>74</v>
      </c>
      <c r="W38" s="21" t="s">
        <v>74</v>
      </c>
      <c r="X38" s="21" t="s">
        <v>74</v>
      </c>
      <c r="Y38" s="21" t="s">
        <v>75</v>
      </c>
      <c r="Z38" s="21" t="s">
        <v>75</v>
      </c>
      <c r="AA38" s="21" t="s">
        <v>75</v>
      </c>
      <c r="AB38" s="21" t="s">
        <v>75</v>
      </c>
      <c r="AC38" s="21" t="s">
        <v>75</v>
      </c>
    </row>
    <row r="39" spans="1:29" ht="52.8">
      <c r="A39" s="22" t="s">
        <v>76</v>
      </c>
      <c r="B39" s="21" t="s">
        <v>268</v>
      </c>
      <c r="C39" s="21" t="s">
        <v>271</v>
      </c>
      <c r="D39" s="21">
        <v>6</v>
      </c>
      <c r="E39" s="21" t="s">
        <v>278</v>
      </c>
      <c r="F39" s="21" t="s">
        <v>281</v>
      </c>
      <c r="G39" s="21" t="s">
        <v>284</v>
      </c>
      <c r="H39" s="21" t="s">
        <v>308</v>
      </c>
      <c r="I39" s="32" t="s">
        <v>309</v>
      </c>
      <c r="J39" s="32" t="s">
        <v>313</v>
      </c>
      <c r="K39" s="32" t="s">
        <v>314</v>
      </c>
      <c r="L39" s="21">
        <v>20</v>
      </c>
      <c r="M39" s="32" t="s">
        <v>271</v>
      </c>
      <c r="N39" s="32" t="s">
        <v>317</v>
      </c>
      <c r="O39" s="32" t="s">
        <v>318</v>
      </c>
      <c r="P39" s="32" t="s">
        <v>319</v>
      </c>
      <c r="Q39" s="32" t="s">
        <v>319</v>
      </c>
      <c r="R39" s="32" t="s">
        <v>319</v>
      </c>
      <c r="S39" s="32" t="s">
        <v>320</v>
      </c>
      <c r="T39" s="32" t="s">
        <v>319</v>
      </c>
      <c r="U39" s="32" t="s">
        <v>321</v>
      </c>
      <c r="V39" s="21" t="s">
        <v>201</v>
      </c>
      <c r="W39" s="21" t="s">
        <v>201</v>
      </c>
      <c r="X39" s="21" t="s">
        <v>322</v>
      </c>
      <c r="Y39" s="21" t="s">
        <v>323</v>
      </c>
      <c r="Z39" s="21" t="s">
        <v>323</v>
      </c>
      <c r="AA39" s="21" t="s">
        <v>323</v>
      </c>
      <c r="AB39" s="21" t="s">
        <v>323</v>
      </c>
      <c r="AC39" s="21" t="s">
        <v>324</v>
      </c>
    </row>
    <row r="40" spans="1:29">
      <c r="A40" s="22" t="s">
        <v>77</v>
      </c>
      <c r="B40" s="23">
        <v>1212</v>
      </c>
      <c r="C40" s="23">
        <v>19</v>
      </c>
      <c r="D40" s="23">
        <v>1</v>
      </c>
      <c r="E40" s="23">
        <v>37</v>
      </c>
      <c r="F40" s="23">
        <v>920</v>
      </c>
      <c r="G40" s="23">
        <v>1</v>
      </c>
      <c r="H40" s="23">
        <v>72</v>
      </c>
      <c r="I40" s="23">
        <v>1</v>
      </c>
      <c r="J40" s="23">
        <v>1</v>
      </c>
      <c r="K40" s="23">
        <v>1</v>
      </c>
      <c r="L40" s="23">
        <v>1</v>
      </c>
      <c r="M40" s="23">
        <v>19</v>
      </c>
      <c r="N40" s="23">
        <v>1</v>
      </c>
      <c r="O40" s="23">
        <v>59</v>
      </c>
      <c r="P40" s="23">
        <v>14</v>
      </c>
      <c r="Q40" s="23">
        <v>14</v>
      </c>
      <c r="R40" s="23">
        <v>14</v>
      </c>
      <c r="S40" s="23">
        <v>2</v>
      </c>
      <c r="T40" s="23">
        <v>14</v>
      </c>
      <c r="U40" s="23">
        <v>103</v>
      </c>
      <c r="V40" s="21">
        <v>10</v>
      </c>
      <c r="W40" s="21">
        <v>3</v>
      </c>
      <c r="X40" s="21">
        <v>318</v>
      </c>
      <c r="Y40" s="21">
        <v>14</v>
      </c>
      <c r="Z40" s="21">
        <v>14</v>
      </c>
      <c r="AA40" s="21">
        <v>14</v>
      </c>
      <c r="AB40" s="21">
        <v>14</v>
      </c>
      <c r="AC40" s="21">
        <v>318</v>
      </c>
    </row>
    <row r="41" spans="1:29" ht="132">
      <c r="A41" s="22" t="s">
        <v>79</v>
      </c>
      <c r="B41" s="21" t="s">
        <v>78</v>
      </c>
      <c r="C41" s="21" t="s">
        <v>272</v>
      </c>
      <c r="D41" s="21">
        <v>6</v>
      </c>
      <c r="E41" s="21" t="s">
        <v>78</v>
      </c>
      <c r="F41" s="21" t="s">
        <v>78</v>
      </c>
      <c r="G41" s="21" t="s">
        <v>284</v>
      </c>
      <c r="H41" s="32" t="s">
        <v>78</v>
      </c>
      <c r="I41" s="32" t="s">
        <v>309</v>
      </c>
      <c r="J41" s="32" t="s">
        <v>313</v>
      </c>
      <c r="K41" s="32" t="s">
        <v>313</v>
      </c>
      <c r="L41" s="21">
        <v>20</v>
      </c>
      <c r="M41" s="32" t="s">
        <v>315</v>
      </c>
      <c r="N41" s="21" t="s">
        <v>317</v>
      </c>
      <c r="O41" s="21" t="s">
        <v>78</v>
      </c>
      <c r="P41" s="21" t="s">
        <v>329</v>
      </c>
      <c r="Q41" s="21" t="s">
        <v>329</v>
      </c>
      <c r="R41" s="21" t="s">
        <v>329</v>
      </c>
      <c r="S41" s="21" t="s">
        <v>320</v>
      </c>
      <c r="T41" s="21" t="s">
        <v>329</v>
      </c>
      <c r="U41" s="21" t="s">
        <v>78</v>
      </c>
      <c r="V41" s="21" t="s">
        <v>327</v>
      </c>
      <c r="W41" s="21" t="s">
        <v>326</v>
      </c>
      <c r="X41" s="21" t="s">
        <v>78</v>
      </c>
      <c r="Y41" s="21" t="s">
        <v>328</v>
      </c>
      <c r="Z41" s="21" t="s">
        <v>328</v>
      </c>
      <c r="AA41" s="21" t="s">
        <v>328</v>
      </c>
      <c r="AB41" s="21" t="s">
        <v>325</v>
      </c>
      <c r="AC41" s="21" t="s">
        <v>78</v>
      </c>
    </row>
    <row r="42" spans="1:29">
      <c r="A42" s="22" t="s">
        <v>80</v>
      </c>
      <c r="B42" s="21" t="s">
        <v>81</v>
      </c>
      <c r="C42" s="21" t="s">
        <v>81</v>
      </c>
      <c r="D42" s="21" t="s">
        <v>81</v>
      </c>
      <c r="E42" s="37">
        <v>4.2099999999999999E-2</v>
      </c>
      <c r="F42" s="21" t="s">
        <v>81</v>
      </c>
      <c r="G42" s="36">
        <v>0</v>
      </c>
      <c r="H42" s="37">
        <v>5.7799999999999997E-2</v>
      </c>
      <c r="I42" s="32" t="s">
        <v>311</v>
      </c>
      <c r="J42" s="36">
        <v>0</v>
      </c>
      <c r="K42" s="36">
        <v>0</v>
      </c>
      <c r="L42" s="36">
        <v>0</v>
      </c>
      <c r="M42" s="36">
        <v>0</v>
      </c>
      <c r="N42" s="36">
        <v>0</v>
      </c>
      <c r="O42" s="36">
        <v>0</v>
      </c>
      <c r="P42" s="36">
        <v>0</v>
      </c>
      <c r="Q42" s="36">
        <v>0</v>
      </c>
      <c r="R42" s="36">
        <v>0</v>
      </c>
      <c r="S42" s="36">
        <v>0</v>
      </c>
      <c r="T42" s="36">
        <v>0</v>
      </c>
      <c r="U42" s="37">
        <v>0.54949999999999999</v>
      </c>
      <c r="V42" s="37">
        <v>0.47110000000000002</v>
      </c>
      <c r="W42" s="36">
        <v>0</v>
      </c>
      <c r="X42" s="37">
        <v>7.4000000000000003E-3</v>
      </c>
      <c r="Y42" s="36">
        <v>0</v>
      </c>
      <c r="Z42" s="36">
        <v>0</v>
      </c>
      <c r="AA42" s="36">
        <v>0</v>
      </c>
      <c r="AB42" s="36">
        <v>0</v>
      </c>
      <c r="AC42" s="37">
        <v>7.4000000000000003E-3</v>
      </c>
    </row>
    <row r="43" spans="1:29" ht="145.19999999999999">
      <c r="A43" s="22" t="s">
        <v>82</v>
      </c>
      <c r="B43" s="21" t="s">
        <v>269</v>
      </c>
      <c r="C43" s="21" t="s">
        <v>273</v>
      </c>
      <c r="D43" s="21" t="s">
        <v>275</v>
      </c>
      <c r="E43" s="21" t="s">
        <v>279</v>
      </c>
      <c r="F43" s="21" t="s">
        <v>282</v>
      </c>
      <c r="G43" s="21" t="s">
        <v>285</v>
      </c>
      <c r="H43" s="32" t="s">
        <v>310</v>
      </c>
      <c r="I43" s="32" t="s">
        <v>312</v>
      </c>
      <c r="J43" s="32" t="s">
        <v>312</v>
      </c>
      <c r="K43" s="32" t="s">
        <v>312</v>
      </c>
      <c r="L43" s="32" t="s">
        <v>312</v>
      </c>
      <c r="M43" s="32" t="s">
        <v>316</v>
      </c>
      <c r="N43" s="21" t="s">
        <v>312</v>
      </c>
      <c r="O43" s="21" t="s">
        <v>330</v>
      </c>
      <c r="P43" s="21" t="s">
        <v>331</v>
      </c>
      <c r="Q43" s="21" t="s">
        <v>331</v>
      </c>
      <c r="R43" s="21" t="s">
        <v>331</v>
      </c>
      <c r="S43" s="21" t="s">
        <v>332</v>
      </c>
      <c r="T43" s="21" t="s">
        <v>333</v>
      </c>
      <c r="U43" s="21" t="s">
        <v>334</v>
      </c>
      <c r="V43" s="21" t="s">
        <v>335</v>
      </c>
      <c r="W43" s="21" t="s">
        <v>336</v>
      </c>
      <c r="X43" s="21" t="s">
        <v>337</v>
      </c>
      <c r="Y43" s="21" t="s">
        <v>338</v>
      </c>
      <c r="Z43" s="21" t="s">
        <v>338</v>
      </c>
      <c r="AA43" s="21" t="s">
        <v>339</v>
      </c>
      <c r="AB43" s="21" t="s">
        <v>339</v>
      </c>
      <c r="AC43" s="21" t="s">
        <v>340</v>
      </c>
    </row>
    <row r="46" spans="1:29" ht="15" thickBot="1"/>
    <row r="47" spans="1:29">
      <c r="A47" s="13" t="s">
        <v>55</v>
      </c>
      <c r="B47" s="39" t="s">
        <v>341</v>
      </c>
      <c r="C47" s="43"/>
      <c r="D47" s="43"/>
      <c r="E47" s="43"/>
      <c r="F47" s="43"/>
      <c r="G47" s="43"/>
      <c r="H47" s="43"/>
      <c r="I47" s="43"/>
      <c r="J47" s="43"/>
      <c r="K47" s="43"/>
      <c r="L47" s="43"/>
      <c r="M47" s="43"/>
      <c r="N47" s="43"/>
      <c r="O47" s="43"/>
      <c r="P47" s="43"/>
      <c r="Q47" s="43"/>
      <c r="R47" s="43"/>
      <c r="S47" s="43"/>
      <c r="T47" s="43"/>
      <c r="U47" s="44"/>
    </row>
    <row r="48" spans="1:29">
      <c r="A48" s="13" t="s">
        <v>56</v>
      </c>
      <c r="B48" s="38" t="s">
        <v>342</v>
      </c>
      <c r="C48" s="45"/>
      <c r="D48" s="45"/>
      <c r="E48" s="45"/>
      <c r="F48" s="45"/>
      <c r="G48" s="45"/>
      <c r="H48" s="45"/>
      <c r="I48" s="45"/>
      <c r="J48" s="45"/>
      <c r="K48" s="45"/>
      <c r="L48" s="45"/>
      <c r="M48" s="45"/>
      <c r="N48" s="45"/>
      <c r="O48" s="45"/>
      <c r="P48" s="45"/>
      <c r="Q48" s="45"/>
      <c r="R48" s="45"/>
      <c r="S48" s="45"/>
      <c r="T48" s="45"/>
      <c r="U48" s="46"/>
    </row>
    <row r="49" spans="1:21">
      <c r="A49" s="13" t="s">
        <v>57</v>
      </c>
      <c r="B49" s="1" t="s">
        <v>58</v>
      </c>
      <c r="C49" s="1" t="s">
        <v>59</v>
      </c>
      <c r="D49" s="42" t="s">
        <v>60</v>
      </c>
      <c r="E49" s="45"/>
      <c r="F49" s="45"/>
      <c r="G49" s="45"/>
      <c r="H49" s="45"/>
      <c r="I49" s="45"/>
      <c r="J49" s="45"/>
      <c r="K49" s="45"/>
      <c r="L49" s="45"/>
      <c r="M49" s="45"/>
      <c r="N49" s="45"/>
      <c r="O49" s="45"/>
      <c r="P49" s="45"/>
      <c r="Q49" s="45"/>
      <c r="R49" s="45"/>
      <c r="S49" s="45"/>
      <c r="T49" s="45"/>
      <c r="U49" s="46"/>
    </row>
    <row r="50" spans="1:21" ht="15" thickBot="1">
      <c r="A50" s="13"/>
      <c r="B50" s="14" t="s">
        <v>343</v>
      </c>
      <c r="C50" s="14" t="s">
        <v>344</v>
      </c>
      <c r="D50" s="38" t="s">
        <v>345</v>
      </c>
      <c r="E50" s="45"/>
      <c r="F50" s="45"/>
      <c r="G50" s="45"/>
      <c r="H50" s="45"/>
      <c r="I50" s="45"/>
      <c r="J50" s="45"/>
      <c r="K50" s="45"/>
      <c r="L50" s="45"/>
      <c r="M50" s="45"/>
      <c r="N50" s="45"/>
      <c r="O50" s="45"/>
      <c r="P50" s="45"/>
      <c r="Q50" s="45"/>
      <c r="R50" s="45"/>
      <c r="S50" s="45"/>
      <c r="T50" s="45"/>
      <c r="U50" s="46"/>
    </row>
    <row r="51" spans="1:21">
      <c r="A51" s="15" t="s">
        <v>61</v>
      </c>
      <c r="B51" s="39" t="s">
        <v>346</v>
      </c>
      <c r="C51" s="43"/>
      <c r="D51" s="43"/>
      <c r="E51" s="43"/>
      <c r="F51" s="43"/>
      <c r="G51" s="43"/>
      <c r="H51" s="43"/>
      <c r="I51" s="43"/>
      <c r="J51" s="43"/>
      <c r="K51" s="43"/>
      <c r="L51" s="43"/>
      <c r="M51" s="43"/>
      <c r="N51" s="43"/>
      <c r="O51" s="43"/>
      <c r="P51" s="43"/>
      <c r="Q51" s="43"/>
      <c r="R51" s="43"/>
      <c r="S51" s="43"/>
      <c r="T51" s="43"/>
      <c r="U51" s="44"/>
    </row>
    <row r="52" spans="1:21">
      <c r="A52" s="15" t="s">
        <v>62</v>
      </c>
      <c r="B52" s="38" t="s">
        <v>347</v>
      </c>
      <c r="C52" s="45"/>
      <c r="D52" s="45"/>
      <c r="E52" s="45"/>
      <c r="F52" s="45"/>
      <c r="G52" s="45"/>
      <c r="H52" s="45"/>
      <c r="I52" s="45"/>
      <c r="J52" s="45"/>
      <c r="K52" s="45"/>
      <c r="L52" s="45"/>
      <c r="M52" s="45"/>
      <c r="N52" s="45"/>
      <c r="O52" s="45"/>
      <c r="P52" s="45"/>
      <c r="Q52" s="45"/>
      <c r="R52" s="45"/>
      <c r="S52" s="45"/>
      <c r="T52" s="45"/>
      <c r="U52" s="46"/>
    </row>
    <row r="53" spans="1:21">
      <c r="A53" s="15" t="s">
        <v>63</v>
      </c>
      <c r="B53" s="1" t="s">
        <v>64</v>
      </c>
      <c r="C53" s="1" t="s">
        <v>65</v>
      </c>
      <c r="D53" s="16"/>
      <c r="E53" s="16"/>
      <c r="F53" s="16"/>
      <c r="G53" s="16"/>
      <c r="H53" s="16"/>
      <c r="I53" s="16"/>
      <c r="J53" s="16"/>
      <c r="K53" s="16"/>
      <c r="L53" s="16"/>
      <c r="M53" s="16"/>
      <c r="N53" s="16"/>
      <c r="O53" s="16"/>
      <c r="P53" s="16"/>
      <c r="Q53" s="16"/>
      <c r="R53" s="16"/>
      <c r="S53" s="16"/>
      <c r="T53" s="16"/>
      <c r="U53" s="16"/>
    </row>
    <row r="54" spans="1:21">
      <c r="A54" s="15"/>
      <c r="B54" s="17">
        <v>799</v>
      </c>
      <c r="C54" s="17">
        <v>6</v>
      </c>
      <c r="D54" s="18"/>
      <c r="E54" s="18"/>
      <c r="F54" s="18"/>
      <c r="G54" s="18"/>
      <c r="H54" s="18"/>
      <c r="I54" s="18"/>
      <c r="J54" s="18"/>
      <c r="K54" s="18"/>
      <c r="L54" s="18"/>
      <c r="M54" s="18"/>
      <c r="N54" s="18"/>
      <c r="O54" s="18"/>
      <c r="P54" s="18"/>
      <c r="Q54" s="18"/>
      <c r="R54" s="18"/>
      <c r="S54" s="18"/>
      <c r="T54" s="18"/>
      <c r="U54" s="18"/>
    </row>
    <row r="56" spans="1:21" ht="26.4">
      <c r="A56" s="19" t="s">
        <v>66</v>
      </c>
      <c r="B56" s="20" t="s">
        <v>348</v>
      </c>
      <c r="C56" s="20" t="s">
        <v>349</v>
      </c>
      <c r="D56" s="20" t="s">
        <v>350</v>
      </c>
      <c r="E56" s="20" t="s">
        <v>351</v>
      </c>
      <c r="F56" s="20" t="s">
        <v>352</v>
      </c>
      <c r="G56" s="20" t="s">
        <v>353</v>
      </c>
      <c r="H56" s="20"/>
      <c r="I56" s="20"/>
      <c r="J56" s="20"/>
      <c r="K56" s="20"/>
      <c r="L56" s="20"/>
      <c r="M56" s="20"/>
      <c r="N56" s="20"/>
      <c r="O56" s="20"/>
      <c r="P56" s="20"/>
      <c r="Q56" s="20"/>
      <c r="R56" s="20"/>
      <c r="S56" s="20"/>
      <c r="T56" s="20"/>
      <c r="U56" s="20"/>
    </row>
    <row r="57" spans="1:21" ht="66">
      <c r="A57" s="19" t="s">
        <v>68</v>
      </c>
      <c r="B57" s="21" t="s">
        <v>354</v>
      </c>
      <c r="C57" s="21" t="s">
        <v>355</v>
      </c>
      <c r="D57" s="21" t="s">
        <v>356</v>
      </c>
      <c r="E57" s="21" t="s">
        <v>357</v>
      </c>
      <c r="F57" s="21" t="s">
        <v>358</v>
      </c>
      <c r="G57" s="21" t="s">
        <v>359</v>
      </c>
      <c r="H57" s="21"/>
      <c r="I57" s="21"/>
      <c r="J57" s="21"/>
      <c r="K57" s="21"/>
      <c r="L57" s="21"/>
      <c r="M57" s="21"/>
      <c r="N57" s="21"/>
      <c r="O57" s="21"/>
      <c r="P57" s="21"/>
      <c r="Q57" s="21"/>
      <c r="R57" s="21"/>
      <c r="S57" s="21"/>
      <c r="T57" s="21"/>
      <c r="U57" s="21"/>
    </row>
    <row r="58" spans="1:21">
      <c r="A58" s="19" t="s">
        <v>69</v>
      </c>
      <c r="B58" s="21" t="s">
        <v>267</v>
      </c>
      <c r="C58" s="21" t="s">
        <v>277</v>
      </c>
      <c r="D58" s="21" t="s">
        <v>277</v>
      </c>
      <c r="E58" s="21" t="s">
        <v>277</v>
      </c>
      <c r="F58" s="21" t="s">
        <v>277</v>
      </c>
      <c r="G58" s="21" t="s">
        <v>277</v>
      </c>
      <c r="H58" s="21"/>
      <c r="I58" s="21"/>
      <c r="J58" s="21"/>
      <c r="K58" s="21"/>
      <c r="L58" s="21"/>
      <c r="M58" s="21"/>
      <c r="N58" s="21"/>
      <c r="O58" s="21"/>
      <c r="P58" s="21"/>
      <c r="Q58" s="21"/>
      <c r="R58" s="21"/>
      <c r="S58" s="21"/>
      <c r="T58" s="21"/>
      <c r="U58" s="21"/>
    </row>
    <row r="59" spans="1:21">
      <c r="A59" s="19" t="s">
        <v>72</v>
      </c>
      <c r="B59" s="21" t="s">
        <v>73</v>
      </c>
      <c r="C59" s="21" t="s">
        <v>74</v>
      </c>
      <c r="D59" s="21" t="s">
        <v>74</v>
      </c>
      <c r="E59" s="21" t="s">
        <v>74</v>
      </c>
      <c r="F59" s="21" t="s">
        <v>74</v>
      </c>
      <c r="G59" s="21" t="s">
        <v>74</v>
      </c>
      <c r="H59" s="21"/>
      <c r="I59" s="21"/>
      <c r="J59" s="21"/>
      <c r="K59" s="21"/>
      <c r="L59" s="21"/>
      <c r="M59" s="21"/>
      <c r="N59" s="21"/>
      <c r="O59" s="21"/>
      <c r="P59" s="21"/>
      <c r="Q59" s="21"/>
      <c r="R59" s="21"/>
      <c r="S59" s="21"/>
      <c r="T59" s="21"/>
      <c r="U59" s="21"/>
    </row>
    <row r="60" spans="1:21" ht="92.4">
      <c r="A60" s="22" t="s">
        <v>76</v>
      </c>
      <c r="B60" s="21" t="s">
        <v>360</v>
      </c>
      <c r="C60" s="21" t="s">
        <v>361</v>
      </c>
      <c r="D60" s="21" t="s">
        <v>362</v>
      </c>
      <c r="E60" s="21" t="s">
        <v>363</v>
      </c>
      <c r="F60" s="21" t="s">
        <v>364</v>
      </c>
      <c r="G60" s="21" t="s">
        <v>365</v>
      </c>
      <c r="H60" s="21"/>
      <c r="I60" s="21"/>
      <c r="J60" s="21"/>
      <c r="K60" s="21"/>
      <c r="L60" s="21"/>
      <c r="M60" s="21"/>
      <c r="N60" s="21"/>
      <c r="O60" s="21"/>
      <c r="P60" s="21"/>
      <c r="Q60" s="21"/>
      <c r="R60" s="21"/>
      <c r="S60" s="21"/>
      <c r="T60" s="21"/>
      <c r="U60" s="21"/>
    </row>
    <row r="61" spans="1:21">
      <c r="A61" s="22" t="s">
        <v>77</v>
      </c>
      <c r="B61" s="23">
        <v>799</v>
      </c>
      <c r="C61" s="23">
        <v>799</v>
      </c>
      <c r="D61" s="23">
        <v>2</v>
      </c>
      <c r="E61" s="23">
        <v>23</v>
      </c>
      <c r="F61" s="23">
        <v>7</v>
      </c>
      <c r="G61" s="23">
        <v>799</v>
      </c>
      <c r="H61" s="23"/>
      <c r="I61" s="23"/>
      <c r="J61" s="23"/>
      <c r="K61" s="23"/>
      <c r="L61" s="23"/>
      <c r="M61" s="23"/>
      <c r="N61" s="23"/>
      <c r="O61" s="23"/>
      <c r="P61" s="23"/>
      <c r="Q61" s="23"/>
      <c r="R61" s="23"/>
      <c r="S61" s="23"/>
      <c r="T61" s="23"/>
      <c r="U61" s="23"/>
    </row>
    <row r="62" spans="1:21" ht="145.19999999999999">
      <c r="A62" s="22" t="s">
        <v>79</v>
      </c>
      <c r="B62" s="21" t="s">
        <v>78</v>
      </c>
      <c r="C62" s="21" t="s">
        <v>78</v>
      </c>
      <c r="D62" s="21" t="s">
        <v>366</v>
      </c>
      <c r="E62" s="21" t="s">
        <v>78</v>
      </c>
      <c r="F62" s="21" t="s">
        <v>367</v>
      </c>
      <c r="G62" s="21" t="s">
        <v>78</v>
      </c>
      <c r="H62" s="21"/>
      <c r="I62" s="21"/>
      <c r="J62" s="21"/>
      <c r="K62" s="21"/>
      <c r="L62" s="21"/>
      <c r="M62" s="21"/>
      <c r="N62" s="21"/>
      <c r="O62" s="21"/>
      <c r="P62" s="21"/>
      <c r="Q62" s="21"/>
      <c r="R62" s="21"/>
      <c r="S62" s="21"/>
      <c r="T62" s="21"/>
      <c r="U62" s="21"/>
    </row>
    <row r="63" spans="1:21">
      <c r="A63" s="22" t="s">
        <v>80</v>
      </c>
      <c r="B63" s="21" t="s">
        <v>368</v>
      </c>
      <c r="C63" s="21" t="s">
        <v>368</v>
      </c>
      <c r="D63" s="21" t="s">
        <v>368</v>
      </c>
      <c r="E63" s="21" t="s">
        <v>369</v>
      </c>
      <c r="F63" s="21" t="s">
        <v>370</v>
      </c>
      <c r="G63" s="21" t="s">
        <v>368</v>
      </c>
      <c r="H63" s="21"/>
      <c r="I63" s="21"/>
      <c r="J63" s="21"/>
      <c r="K63" s="21"/>
      <c r="L63" s="21"/>
      <c r="M63" s="21"/>
      <c r="N63" s="21"/>
      <c r="O63" s="21"/>
      <c r="P63" s="21"/>
      <c r="Q63" s="21"/>
      <c r="R63" s="21"/>
      <c r="S63" s="21"/>
      <c r="T63" s="21"/>
      <c r="U63" s="21"/>
    </row>
    <row r="64" spans="1:21" ht="39.6">
      <c r="A64" s="22" t="s">
        <v>82</v>
      </c>
      <c r="B64" s="21" t="s">
        <v>371</v>
      </c>
      <c r="C64" s="21" t="s">
        <v>371</v>
      </c>
      <c r="D64" s="21" t="s">
        <v>372</v>
      </c>
      <c r="E64" s="21" t="s">
        <v>373</v>
      </c>
      <c r="F64" s="21" t="s">
        <v>374</v>
      </c>
      <c r="G64" s="21" t="s">
        <v>371</v>
      </c>
      <c r="H64" s="21"/>
      <c r="I64" s="21"/>
      <c r="J64" s="21"/>
      <c r="K64" s="21"/>
      <c r="L64" s="21"/>
      <c r="M64" s="21"/>
      <c r="N64" s="21"/>
      <c r="O64" s="21"/>
      <c r="P64" s="21"/>
      <c r="Q64" s="21"/>
      <c r="R64" s="21"/>
      <c r="S64" s="21"/>
      <c r="T64" s="21"/>
      <c r="U64" s="21"/>
    </row>
    <row r="67" spans="1:21" ht="15" thickBot="1"/>
    <row r="68" spans="1:21">
      <c r="A68" s="13" t="s">
        <v>55</v>
      </c>
      <c r="B68" s="39" t="s">
        <v>375</v>
      </c>
      <c r="C68" s="43"/>
      <c r="D68" s="43"/>
      <c r="E68" s="43"/>
      <c r="F68" s="43"/>
      <c r="G68" s="43"/>
      <c r="H68" s="43"/>
      <c r="I68" s="43"/>
      <c r="J68" s="43"/>
      <c r="K68" s="43"/>
      <c r="L68" s="43"/>
      <c r="M68" s="43"/>
      <c r="N68" s="43"/>
      <c r="O68" s="43"/>
      <c r="P68" s="43"/>
      <c r="Q68" s="43"/>
      <c r="R68" s="43"/>
      <c r="S68" s="43"/>
      <c r="T68" s="43"/>
      <c r="U68" s="44"/>
    </row>
    <row r="69" spans="1:21">
      <c r="A69" s="13" t="s">
        <v>56</v>
      </c>
      <c r="B69" s="38" t="s">
        <v>376</v>
      </c>
      <c r="C69" s="45"/>
      <c r="D69" s="45"/>
      <c r="E69" s="45"/>
      <c r="F69" s="45"/>
      <c r="G69" s="45"/>
      <c r="H69" s="45"/>
      <c r="I69" s="45"/>
      <c r="J69" s="45"/>
      <c r="K69" s="45"/>
      <c r="L69" s="45"/>
      <c r="M69" s="45"/>
      <c r="N69" s="45"/>
      <c r="O69" s="45"/>
      <c r="P69" s="45"/>
      <c r="Q69" s="45"/>
      <c r="R69" s="45"/>
      <c r="S69" s="45"/>
      <c r="T69" s="45"/>
      <c r="U69" s="46"/>
    </row>
    <row r="70" spans="1:21">
      <c r="A70" s="13" t="s">
        <v>57</v>
      </c>
      <c r="B70" s="1" t="s">
        <v>58</v>
      </c>
      <c r="C70" s="1" t="s">
        <v>59</v>
      </c>
      <c r="D70" s="42" t="s">
        <v>60</v>
      </c>
      <c r="E70" s="45"/>
      <c r="F70" s="45"/>
      <c r="G70" s="45"/>
      <c r="H70" s="45"/>
      <c r="I70" s="45"/>
      <c r="J70" s="45"/>
      <c r="K70" s="45"/>
      <c r="L70" s="45"/>
      <c r="M70" s="45"/>
      <c r="N70" s="45"/>
      <c r="O70" s="45"/>
      <c r="P70" s="45"/>
      <c r="Q70" s="45"/>
      <c r="R70" s="45"/>
      <c r="S70" s="45"/>
      <c r="T70" s="45"/>
      <c r="U70" s="46"/>
    </row>
    <row r="71" spans="1:21" ht="15" thickBot="1">
      <c r="A71" s="13"/>
      <c r="B71" s="14" t="s">
        <v>343</v>
      </c>
      <c r="C71" s="14" t="s">
        <v>377</v>
      </c>
      <c r="D71" s="38" t="s">
        <v>345</v>
      </c>
      <c r="E71" s="45"/>
      <c r="F71" s="45"/>
      <c r="G71" s="45"/>
      <c r="H71" s="45"/>
      <c r="I71" s="45"/>
      <c r="J71" s="45"/>
      <c r="K71" s="45"/>
      <c r="L71" s="45"/>
      <c r="M71" s="45"/>
      <c r="N71" s="45"/>
      <c r="O71" s="45"/>
      <c r="P71" s="45"/>
      <c r="Q71" s="45"/>
      <c r="R71" s="45"/>
      <c r="S71" s="45"/>
      <c r="T71" s="45"/>
      <c r="U71" s="46"/>
    </row>
    <row r="72" spans="1:21">
      <c r="A72" s="15" t="s">
        <v>61</v>
      </c>
      <c r="B72" s="39" t="s">
        <v>378</v>
      </c>
      <c r="C72" s="43"/>
      <c r="D72" s="43"/>
      <c r="E72" s="43"/>
      <c r="F72" s="43"/>
      <c r="G72" s="43"/>
      <c r="H72" s="43"/>
      <c r="I72" s="43"/>
      <c r="J72" s="43"/>
      <c r="K72" s="43"/>
      <c r="L72" s="43"/>
      <c r="M72" s="43"/>
      <c r="N72" s="43"/>
      <c r="O72" s="43"/>
      <c r="P72" s="43"/>
      <c r="Q72" s="43"/>
      <c r="R72" s="43"/>
      <c r="S72" s="43"/>
      <c r="T72" s="43"/>
      <c r="U72" s="44"/>
    </row>
    <row r="73" spans="1:21">
      <c r="A73" s="15" t="s">
        <v>62</v>
      </c>
      <c r="B73" s="38" t="s">
        <v>379</v>
      </c>
      <c r="C73" s="45"/>
      <c r="D73" s="45"/>
      <c r="E73" s="45"/>
      <c r="F73" s="45"/>
      <c r="G73" s="45"/>
      <c r="H73" s="45"/>
      <c r="I73" s="45"/>
      <c r="J73" s="45"/>
      <c r="K73" s="45"/>
      <c r="L73" s="45"/>
      <c r="M73" s="45"/>
      <c r="N73" s="45"/>
      <c r="O73" s="45"/>
      <c r="P73" s="45"/>
      <c r="Q73" s="45"/>
      <c r="R73" s="45"/>
      <c r="S73" s="45"/>
      <c r="T73" s="45"/>
      <c r="U73" s="46"/>
    </row>
    <row r="74" spans="1:21">
      <c r="A74" s="15" t="s">
        <v>63</v>
      </c>
      <c r="B74" s="1" t="s">
        <v>64</v>
      </c>
      <c r="C74" s="1" t="s">
        <v>65</v>
      </c>
      <c r="D74" s="16"/>
      <c r="E74" s="16"/>
      <c r="F74" s="16"/>
      <c r="G74" s="16"/>
      <c r="H74" s="16"/>
      <c r="I74" s="16"/>
      <c r="J74" s="16"/>
      <c r="K74" s="16"/>
      <c r="L74" s="16"/>
      <c r="M74" s="16"/>
      <c r="N74" s="16"/>
      <c r="O74" s="16"/>
      <c r="P74" s="16"/>
      <c r="Q74" s="16"/>
      <c r="R74" s="16"/>
      <c r="S74" s="16"/>
      <c r="T74" s="16"/>
      <c r="U74" s="16"/>
    </row>
    <row r="75" spans="1:21">
      <c r="A75" s="15"/>
      <c r="B75" s="17">
        <v>16</v>
      </c>
      <c r="C75" s="17">
        <v>2</v>
      </c>
      <c r="D75" s="18"/>
      <c r="E75" s="18"/>
      <c r="F75" s="18"/>
      <c r="G75" s="18"/>
      <c r="H75" s="18"/>
      <c r="I75" s="18"/>
      <c r="J75" s="18"/>
      <c r="K75" s="18"/>
      <c r="L75" s="18"/>
      <c r="M75" s="18"/>
      <c r="N75" s="18"/>
      <c r="O75" s="18"/>
      <c r="P75" s="18"/>
      <c r="Q75" s="18"/>
      <c r="R75" s="18"/>
      <c r="S75" s="18"/>
      <c r="T75" s="18"/>
      <c r="U75" s="18"/>
    </row>
    <row r="77" spans="1:21">
      <c r="A77" s="19" t="s">
        <v>66</v>
      </c>
      <c r="B77" s="20" t="s">
        <v>380</v>
      </c>
      <c r="C77" s="20" t="s">
        <v>381</v>
      </c>
      <c r="D77" s="20"/>
      <c r="E77" s="20"/>
      <c r="F77" s="20"/>
      <c r="G77" s="20"/>
      <c r="H77" s="20"/>
      <c r="I77" s="20"/>
      <c r="J77" s="20"/>
      <c r="K77" s="20"/>
      <c r="L77" s="20"/>
      <c r="M77" s="20"/>
      <c r="N77" s="20"/>
      <c r="O77" s="20"/>
      <c r="P77" s="20"/>
      <c r="Q77" s="20"/>
      <c r="R77" s="20"/>
      <c r="S77" s="20"/>
      <c r="T77" s="20"/>
      <c r="U77" s="20"/>
    </row>
    <row r="78" spans="1:21" ht="39.6">
      <c r="A78" s="19" t="s">
        <v>68</v>
      </c>
      <c r="B78" s="21" t="s">
        <v>382</v>
      </c>
      <c r="C78" s="21" t="s">
        <v>383</v>
      </c>
      <c r="D78" s="21"/>
      <c r="E78" s="21"/>
      <c r="F78" s="21"/>
      <c r="G78" s="21"/>
      <c r="H78" s="21"/>
      <c r="I78" s="21"/>
      <c r="J78" s="21"/>
      <c r="K78" s="21"/>
      <c r="L78" s="21"/>
      <c r="M78" s="21"/>
      <c r="N78" s="21"/>
      <c r="O78" s="21"/>
      <c r="P78" s="21"/>
      <c r="Q78" s="21"/>
      <c r="R78" s="21"/>
      <c r="S78" s="21"/>
      <c r="T78" s="21"/>
      <c r="U78" s="21"/>
    </row>
    <row r="79" spans="1:21">
      <c r="A79" s="19" t="s">
        <v>69</v>
      </c>
      <c r="B79" s="21" t="s">
        <v>267</v>
      </c>
      <c r="C79" s="21" t="s">
        <v>277</v>
      </c>
      <c r="D79" s="21"/>
      <c r="E79" s="21"/>
      <c r="F79" s="21"/>
      <c r="G79" s="21"/>
      <c r="H79" s="21"/>
      <c r="I79" s="21"/>
      <c r="J79" s="21"/>
      <c r="K79" s="21"/>
      <c r="L79" s="21"/>
      <c r="M79" s="21"/>
      <c r="N79" s="21"/>
      <c r="O79" s="21"/>
      <c r="P79" s="21"/>
      <c r="Q79" s="21"/>
      <c r="R79" s="21"/>
      <c r="S79" s="21"/>
      <c r="T79" s="21"/>
      <c r="U79" s="21"/>
    </row>
    <row r="80" spans="1:21">
      <c r="A80" s="19" t="s">
        <v>72</v>
      </c>
      <c r="B80" s="21" t="s">
        <v>73</v>
      </c>
      <c r="C80" s="21" t="s">
        <v>74</v>
      </c>
      <c r="D80" s="21"/>
      <c r="E80" s="21"/>
      <c r="F80" s="21"/>
      <c r="G80" s="21"/>
      <c r="H80" s="21"/>
      <c r="I80" s="21"/>
      <c r="J80" s="21"/>
      <c r="K80" s="21"/>
      <c r="L80" s="21"/>
      <c r="M80" s="21"/>
      <c r="N80" s="21"/>
      <c r="O80" s="21"/>
      <c r="P80" s="21"/>
      <c r="Q80" s="21"/>
      <c r="R80" s="21"/>
      <c r="S80" s="21"/>
      <c r="T80" s="21"/>
      <c r="U80" s="21"/>
    </row>
    <row r="81" spans="1:21" ht="92.4">
      <c r="A81" s="22" t="s">
        <v>76</v>
      </c>
      <c r="B81" s="21" t="s">
        <v>201</v>
      </c>
      <c r="C81" s="21" t="s">
        <v>384</v>
      </c>
      <c r="D81" s="21"/>
      <c r="E81" s="21"/>
      <c r="F81" s="21"/>
      <c r="G81" s="21"/>
      <c r="H81" s="21"/>
      <c r="I81" s="21"/>
      <c r="J81" s="21"/>
      <c r="K81" s="21"/>
      <c r="L81" s="21"/>
      <c r="M81" s="21"/>
      <c r="N81" s="21"/>
      <c r="O81" s="21"/>
      <c r="P81" s="21"/>
      <c r="Q81" s="21"/>
      <c r="R81" s="21"/>
      <c r="S81" s="21"/>
      <c r="T81" s="21"/>
      <c r="U81" s="21"/>
    </row>
    <row r="82" spans="1:21">
      <c r="A82" s="22" t="s">
        <v>77</v>
      </c>
      <c r="B82" s="23">
        <v>16</v>
      </c>
      <c r="C82" s="23">
        <v>16</v>
      </c>
      <c r="D82" s="23"/>
      <c r="E82" s="23"/>
      <c r="F82" s="23"/>
      <c r="G82" s="23"/>
      <c r="H82" s="23"/>
      <c r="I82" s="23"/>
      <c r="J82" s="23"/>
      <c r="K82" s="23"/>
      <c r="L82" s="23"/>
      <c r="M82" s="23"/>
      <c r="N82" s="23"/>
      <c r="O82" s="23"/>
      <c r="P82" s="23"/>
      <c r="Q82" s="23"/>
      <c r="R82" s="23"/>
      <c r="S82" s="23"/>
      <c r="T82" s="23"/>
      <c r="U82" s="23"/>
    </row>
    <row r="83" spans="1:21" ht="382.8">
      <c r="A83" s="22" t="s">
        <v>79</v>
      </c>
      <c r="B83" s="21" t="s">
        <v>385</v>
      </c>
      <c r="C83" s="21" t="s">
        <v>386</v>
      </c>
      <c r="D83" s="21"/>
      <c r="E83" s="21"/>
      <c r="F83" s="21"/>
      <c r="G83" s="21"/>
      <c r="H83" s="21"/>
      <c r="I83" s="21"/>
      <c r="J83" s="21"/>
      <c r="K83" s="21"/>
      <c r="L83" s="21"/>
      <c r="M83" s="21"/>
      <c r="N83" s="21"/>
      <c r="O83" s="21"/>
      <c r="P83" s="21"/>
      <c r="Q83" s="21"/>
      <c r="R83" s="21"/>
      <c r="S83" s="21"/>
      <c r="T83" s="21"/>
      <c r="U83" s="21"/>
    </row>
    <row r="84" spans="1:21">
      <c r="A84" s="22" t="s">
        <v>80</v>
      </c>
      <c r="B84" s="21" t="s">
        <v>368</v>
      </c>
      <c r="C84" s="21" t="s">
        <v>368</v>
      </c>
      <c r="D84" s="21"/>
      <c r="E84" s="21"/>
      <c r="F84" s="21"/>
      <c r="G84" s="21"/>
      <c r="H84" s="21"/>
      <c r="I84" s="21"/>
      <c r="J84" s="21"/>
      <c r="K84" s="21"/>
      <c r="L84" s="21"/>
      <c r="M84" s="21"/>
      <c r="N84" s="21"/>
      <c r="O84" s="21"/>
      <c r="P84" s="21"/>
      <c r="Q84" s="21"/>
      <c r="R84" s="21"/>
      <c r="S84" s="21"/>
      <c r="T84" s="21"/>
      <c r="U84" s="21"/>
    </row>
    <row r="85" spans="1:21" ht="39.6">
      <c r="A85" s="22" t="s">
        <v>82</v>
      </c>
      <c r="B85" s="21" t="s">
        <v>371</v>
      </c>
      <c r="C85" s="21" t="s">
        <v>371</v>
      </c>
      <c r="D85" s="21"/>
      <c r="E85" s="21"/>
      <c r="F85" s="21"/>
      <c r="G85" s="21"/>
      <c r="H85" s="21"/>
      <c r="I85" s="21"/>
      <c r="J85" s="21"/>
      <c r="K85" s="21"/>
      <c r="L85" s="21"/>
      <c r="M85" s="21"/>
      <c r="N85" s="21"/>
      <c r="O85" s="21"/>
      <c r="P85" s="21"/>
      <c r="Q85" s="21"/>
      <c r="R85" s="21"/>
      <c r="S85" s="21"/>
      <c r="T85" s="21"/>
      <c r="U85" s="21"/>
    </row>
    <row r="88" spans="1:21" ht="15" thickBot="1"/>
    <row r="89" spans="1:21">
      <c r="A89" s="13" t="s">
        <v>55</v>
      </c>
      <c r="B89" s="39" t="s">
        <v>387</v>
      </c>
      <c r="C89" s="43"/>
      <c r="D89" s="43"/>
      <c r="E89" s="43"/>
      <c r="F89" s="43"/>
      <c r="G89" s="43"/>
      <c r="H89" s="43"/>
      <c r="I89" s="43"/>
      <c r="J89" s="43"/>
      <c r="K89" s="43"/>
      <c r="L89" s="43"/>
      <c r="M89" s="43"/>
      <c r="N89" s="43"/>
      <c r="O89" s="43"/>
      <c r="P89" s="43"/>
      <c r="Q89" s="43"/>
      <c r="R89" s="43"/>
      <c r="S89" s="43"/>
      <c r="T89" s="43"/>
      <c r="U89" s="44"/>
    </row>
    <row r="90" spans="1:21">
      <c r="A90" s="13" t="s">
        <v>56</v>
      </c>
      <c r="B90" s="38" t="s">
        <v>388</v>
      </c>
      <c r="C90" s="45"/>
      <c r="D90" s="45"/>
      <c r="E90" s="45"/>
      <c r="F90" s="45"/>
      <c r="G90" s="45"/>
      <c r="H90" s="45"/>
      <c r="I90" s="45"/>
      <c r="J90" s="45"/>
      <c r="K90" s="45"/>
      <c r="L90" s="45"/>
      <c r="M90" s="45"/>
      <c r="N90" s="45"/>
      <c r="O90" s="45"/>
      <c r="P90" s="45"/>
      <c r="Q90" s="45"/>
      <c r="R90" s="45"/>
      <c r="S90" s="45"/>
      <c r="T90" s="45"/>
      <c r="U90" s="46"/>
    </row>
    <row r="91" spans="1:21">
      <c r="A91" s="13" t="s">
        <v>57</v>
      </c>
      <c r="B91" s="1" t="s">
        <v>58</v>
      </c>
      <c r="C91" s="1" t="s">
        <v>59</v>
      </c>
      <c r="D91" s="42" t="s">
        <v>60</v>
      </c>
      <c r="E91" s="45"/>
      <c r="F91" s="45"/>
      <c r="G91" s="45"/>
      <c r="H91" s="45"/>
      <c r="I91" s="45"/>
      <c r="J91" s="45"/>
      <c r="K91" s="45"/>
      <c r="L91" s="45"/>
      <c r="M91" s="45"/>
      <c r="N91" s="45"/>
      <c r="O91" s="45"/>
      <c r="P91" s="45"/>
      <c r="Q91" s="45"/>
      <c r="R91" s="45"/>
      <c r="S91" s="45"/>
      <c r="T91" s="45"/>
      <c r="U91" s="46"/>
    </row>
    <row r="92" spans="1:21" ht="15" thickBot="1">
      <c r="A92" s="13"/>
      <c r="B92" s="14" t="s">
        <v>343</v>
      </c>
      <c r="C92" s="14" t="s">
        <v>389</v>
      </c>
      <c r="D92" s="38" t="s">
        <v>345</v>
      </c>
      <c r="E92" s="45"/>
      <c r="F92" s="45"/>
      <c r="G92" s="45"/>
      <c r="H92" s="45"/>
      <c r="I92" s="45"/>
      <c r="J92" s="45"/>
      <c r="K92" s="45"/>
      <c r="L92" s="45"/>
      <c r="M92" s="45"/>
      <c r="N92" s="45"/>
      <c r="O92" s="45"/>
      <c r="P92" s="45"/>
      <c r="Q92" s="45"/>
      <c r="R92" s="45"/>
      <c r="S92" s="45"/>
      <c r="T92" s="45"/>
      <c r="U92" s="46"/>
    </row>
    <row r="93" spans="1:21">
      <c r="A93" s="15" t="s">
        <v>61</v>
      </c>
      <c r="B93" s="39" t="s">
        <v>390</v>
      </c>
      <c r="C93" s="43"/>
      <c r="D93" s="43"/>
      <c r="E93" s="43"/>
      <c r="F93" s="43"/>
      <c r="G93" s="43"/>
      <c r="H93" s="43"/>
      <c r="I93" s="43"/>
      <c r="J93" s="43"/>
      <c r="K93" s="43"/>
      <c r="L93" s="43"/>
      <c r="M93" s="43"/>
      <c r="N93" s="43"/>
      <c r="O93" s="43"/>
      <c r="P93" s="43"/>
      <c r="Q93" s="43"/>
      <c r="R93" s="43"/>
      <c r="S93" s="43"/>
      <c r="T93" s="43"/>
      <c r="U93" s="44"/>
    </row>
    <row r="94" spans="1:21">
      <c r="A94" s="15" t="s">
        <v>62</v>
      </c>
      <c r="B94" s="38" t="s">
        <v>391</v>
      </c>
      <c r="C94" s="45"/>
      <c r="D94" s="45"/>
      <c r="E94" s="45"/>
      <c r="F94" s="45"/>
      <c r="G94" s="45"/>
      <c r="H94" s="45"/>
      <c r="I94" s="45"/>
      <c r="J94" s="45"/>
      <c r="K94" s="45"/>
      <c r="L94" s="45"/>
      <c r="M94" s="45"/>
      <c r="N94" s="45"/>
      <c r="O94" s="45"/>
      <c r="P94" s="45"/>
      <c r="Q94" s="45"/>
      <c r="R94" s="45"/>
      <c r="S94" s="45"/>
      <c r="T94" s="45"/>
      <c r="U94" s="46"/>
    </row>
    <row r="95" spans="1:21">
      <c r="A95" s="15" t="s">
        <v>63</v>
      </c>
      <c r="B95" s="1" t="s">
        <v>64</v>
      </c>
      <c r="C95" s="1" t="s">
        <v>65</v>
      </c>
      <c r="D95" s="16"/>
      <c r="E95" s="16"/>
      <c r="F95" s="16"/>
      <c r="G95" s="16"/>
      <c r="H95" s="16"/>
      <c r="I95" s="16"/>
      <c r="J95" s="16"/>
      <c r="K95" s="16"/>
      <c r="L95" s="16"/>
      <c r="M95" s="16"/>
      <c r="N95" s="16"/>
      <c r="O95" s="16"/>
      <c r="P95" s="16"/>
      <c r="Q95" s="16"/>
      <c r="R95" s="16"/>
      <c r="S95" s="16"/>
      <c r="T95" s="16"/>
      <c r="U95" s="16"/>
    </row>
    <row r="96" spans="1:21">
      <c r="A96" s="15"/>
      <c r="B96" s="17">
        <v>63</v>
      </c>
      <c r="C96" s="17">
        <v>3</v>
      </c>
      <c r="D96" s="18"/>
      <c r="E96" s="18"/>
      <c r="F96" s="18"/>
      <c r="G96" s="18"/>
      <c r="H96" s="18"/>
      <c r="I96" s="18"/>
      <c r="J96" s="18"/>
      <c r="K96" s="18"/>
      <c r="L96" s="18"/>
      <c r="M96" s="18"/>
      <c r="N96" s="18"/>
      <c r="O96" s="18"/>
      <c r="P96" s="18"/>
      <c r="Q96" s="18"/>
      <c r="R96" s="18"/>
      <c r="S96" s="18"/>
      <c r="T96" s="18"/>
      <c r="U96" s="18"/>
    </row>
    <row r="98" spans="1:21">
      <c r="A98" s="19" t="s">
        <v>66</v>
      </c>
      <c r="B98" s="20" t="s">
        <v>392</v>
      </c>
      <c r="C98" s="20" t="s">
        <v>251</v>
      </c>
      <c r="D98" s="20" t="s">
        <v>241</v>
      </c>
      <c r="E98" s="20"/>
      <c r="F98" s="20"/>
      <c r="G98" s="20"/>
      <c r="H98" s="20"/>
      <c r="I98" s="20"/>
      <c r="J98" s="20"/>
      <c r="K98" s="20"/>
      <c r="L98" s="20"/>
      <c r="M98" s="20"/>
      <c r="N98" s="20"/>
      <c r="O98" s="20"/>
      <c r="P98" s="20"/>
      <c r="Q98" s="20"/>
      <c r="R98" s="20"/>
      <c r="S98" s="20"/>
      <c r="T98" s="20"/>
      <c r="U98" s="20"/>
    </row>
    <row r="99" spans="1:21" ht="39.6">
      <c r="A99" s="19" t="s">
        <v>68</v>
      </c>
      <c r="B99" s="21" t="s">
        <v>393</v>
      </c>
      <c r="C99" s="21" t="s">
        <v>394</v>
      </c>
      <c r="D99" s="21" t="s">
        <v>395</v>
      </c>
      <c r="E99" s="21"/>
      <c r="F99" s="21"/>
      <c r="G99" s="21"/>
      <c r="H99" s="21"/>
      <c r="I99" s="21"/>
      <c r="J99" s="21"/>
      <c r="K99" s="21"/>
      <c r="L99" s="21"/>
      <c r="M99" s="21"/>
      <c r="N99" s="21"/>
      <c r="O99" s="21"/>
      <c r="P99" s="21"/>
      <c r="Q99" s="21"/>
      <c r="R99" s="21"/>
      <c r="S99" s="21"/>
      <c r="T99" s="21"/>
      <c r="U99" s="21"/>
    </row>
    <row r="100" spans="1:21">
      <c r="A100" s="19" t="s">
        <v>69</v>
      </c>
      <c r="B100" s="21" t="s">
        <v>267</v>
      </c>
      <c r="C100" s="21" t="s">
        <v>277</v>
      </c>
      <c r="D100" s="21" t="s">
        <v>277</v>
      </c>
      <c r="E100" s="21"/>
      <c r="F100" s="21"/>
      <c r="G100" s="21"/>
      <c r="H100" s="21"/>
      <c r="I100" s="21"/>
      <c r="J100" s="21"/>
      <c r="K100" s="21"/>
      <c r="L100" s="21"/>
      <c r="M100" s="21"/>
      <c r="N100" s="21"/>
      <c r="O100" s="21"/>
      <c r="P100" s="21"/>
      <c r="Q100" s="21"/>
      <c r="R100" s="21"/>
      <c r="S100" s="21"/>
      <c r="T100" s="21"/>
      <c r="U100" s="21"/>
    </row>
    <row r="101" spans="1:21">
      <c r="A101" s="19" t="s">
        <v>72</v>
      </c>
      <c r="B101" s="21" t="s">
        <v>73</v>
      </c>
      <c r="C101" s="21" t="s">
        <v>74</v>
      </c>
      <c r="D101" s="21" t="s">
        <v>74</v>
      </c>
      <c r="E101" s="21"/>
      <c r="F101" s="21"/>
      <c r="G101" s="21"/>
      <c r="H101" s="21"/>
      <c r="I101" s="21"/>
      <c r="J101" s="21"/>
      <c r="K101" s="21"/>
      <c r="L101" s="21"/>
      <c r="M101" s="21"/>
      <c r="N101" s="21"/>
      <c r="O101" s="21"/>
      <c r="P101" s="21"/>
      <c r="Q101" s="21"/>
      <c r="R101" s="21"/>
      <c r="S101" s="21"/>
      <c r="T101" s="21"/>
      <c r="U101" s="21"/>
    </row>
    <row r="102" spans="1:21" ht="145.19999999999999">
      <c r="A102" s="22" t="s">
        <v>76</v>
      </c>
      <c r="B102" s="21" t="s">
        <v>201</v>
      </c>
      <c r="C102" s="21" t="s">
        <v>396</v>
      </c>
      <c r="D102" s="21" t="s">
        <v>397</v>
      </c>
      <c r="E102" s="21"/>
      <c r="F102" s="21"/>
      <c r="G102" s="21"/>
      <c r="H102" s="21"/>
      <c r="I102" s="21"/>
      <c r="J102" s="21"/>
      <c r="K102" s="21"/>
      <c r="L102" s="21"/>
      <c r="M102" s="21"/>
      <c r="N102" s="21"/>
      <c r="O102" s="21"/>
      <c r="P102" s="21"/>
      <c r="Q102" s="21"/>
      <c r="R102" s="21"/>
      <c r="S102" s="21"/>
      <c r="T102" s="21"/>
      <c r="U102" s="21"/>
    </row>
    <row r="103" spans="1:21">
      <c r="A103" s="22" t="s">
        <v>77</v>
      </c>
      <c r="B103" s="23">
        <v>63</v>
      </c>
      <c r="C103" s="23">
        <v>59</v>
      </c>
      <c r="D103" s="23">
        <v>37</v>
      </c>
      <c r="E103" s="23"/>
      <c r="F103" s="23"/>
      <c r="G103" s="23"/>
      <c r="H103" s="23"/>
      <c r="I103" s="23"/>
      <c r="J103" s="23"/>
      <c r="K103" s="23"/>
      <c r="L103" s="23"/>
      <c r="M103" s="23"/>
      <c r="N103" s="23"/>
      <c r="O103" s="23"/>
      <c r="P103" s="23"/>
      <c r="Q103" s="23"/>
      <c r="R103" s="23"/>
      <c r="S103" s="23"/>
      <c r="T103" s="23"/>
      <c r="U103" s="23"/>
    </row>
    <row r="104" spans="1:21">
      <c r="A104" s="22" t="s">
        <v>79</v>
      </c>
      <c r="B104" s="21" t="s">
        <v>78</v>
      </c>
      <c r="C104" s="21" t="s">
        <v>78</v>
      </c>
      <c r="D104" s="21" t="s">
        <v>78</v>
      </c>
      <c r="E104" s="21"/>
      <c r="F104" s="21"/>
      <c r="G104" s="21"/>
      <c r="H104" s="21"/>
      <c r="I104" s="21"/>
      <c r="J104" s="21"/>
      <c r="K104" s="21"/>
      <c r="L104" s="21"/>
      <c r="M104" s="21"/>
      <c r="N104" s="21"/>
      <c r="O104" s="21"/>
      <c r="P104" s="21"/>
      <c r="Q104" s="21"/>
      <c r="R104" s="21"/>
      <c r="S104" s="21"/>
      <c r="T104" s="21"/>
      <c r="U104" s="21"/>
    </row>
    <row r="105" spans="1:21">
      <c r="A105" s="22" t="s">
        <v>80</v>
      </c>
      <c r="B105" s="21" t="s">
        <v>368</v>
      </c>
      <c r="C105" s="21" t="s">
        <v>368</v>
      </c>
      <c r="D105" s="21" t="s">
        <v>398</v>
      </c>
      <c r="E105" s="21"/>
      <c r="F105" s="21"/>
      <c r="G105" s="21"/>
      <c r="H105" s="21"/>
      <c r="I105" s="21"/>
      <c r="J105" s="21"/>
      <c r="K105" s="21"/>
      <c r="L105" s="21"/>
      <c r="M105" s="21"/>
      <c r="N105" s="21"/>
      <c r="O105" s="21"/>
      <c r="P105" s="21"/>
      <c r="Q105" s="21"/>
      <c r="R105" s="21"/>
      <c r="S105" s="21"/>
      <c r="T105" s="21"/>
      <c r="U105" s="21"/>
    </row>
    <row r="106" spans="1:21" ht="39.6">
      <c r="A106" s="22" t="s">
        <v>82</v>
      </c>
      <c r="B106" s="21" t="s">
        <v>371</v>
      </c>
      <c r="C106" s="21" t="s">
        <v>372</v>
      </c>
      <c r="D106" s="21" t="s">
        <v>399</v>
      </c>
      <c r="E106" s="21"/>
      <c r="F106" s="21"/>
      <c r="G106" s="21"/>
      <c r="H106" s="21"/>
      <c r="I106" s="21"/>
      <c r="J106" s="21"/>
      <c r="K106" s="21"/>
      <c r="L106" s="21"/>
      <c r="M106" s="21"/>
      <c r="N106" s="21"/>
      <c r="O106" s="21"/>
      <c r="P106" s="21"/>
      <c r="Q106" s="21"/>
      <c r="R106" s="21"/>
      <c r="S106" s="21"/>
      <c r="T106" s="21"/>
      <c r="U106" s="21"/>
    </row>
  </sheetData>
  <mergeCells count="32">
    <mergeCell ref="D92:U92"/>
    <mergeCell ref="B93:U93"/>
    <mergeCell ref="B94:U94"/>
    <mergeCell ref="B72:U72"/>
    <mergeCell ref="B73:U73"/>
    <mergeCell ref="B89:U89"/>
    <mergeCell ref="B90:U90"/>
    <mergeCell ref="D91:U91"/>
    <mergeCell ref="B52:U52"/>
    <mergeCell ref="B68:U68"/>
    <mergeCell ref="B69:U69"/>
    <mergeCell ref="D70:U70"/>
    <mergeCell ref="D71:U71"/>
    <mergeCell ref="B47:U47"/>
    <mergeCell ref="B48:U48"/>
    <mergeCell ref="D49:U49"/>
    <mergeCell ref="D50:U50"/>
    <mergeCell ref="B51:U51"/>
    <mergeCell ref="B31:U31"/>
    <mergeCell ref="D7:U7"/>
    <mergeCell ref="B8:U8"/>
    <mergeCell ref="B9:U9"/>
    <mergeCell ref="A1:U1"/>
    <mergeCell ref="A2:U2"/>
    <mergeCell ref="B4:U4"/>
    <mergeCell ref="B5:U5"/>
    <mergeCell ref="D6:U6"/>
    <mergeCell ref="B26:U26"/>
    <mergeCell ref="B27:U27"/>
    <mergeCell ref="D28:U28"/>
    <mergeCell ref="D29:U29"/>
    <mergeCell ref="B30:U30"/>
  </mergeCells>
  <phoneticPr fontId="13" type="noConversion"/>
  <pageMargins left="0.3" right="0.3" top="0.4" bottom="0.4" header="0.511811023622047" footer="0.511811023622047"/>
  <pageSetup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cols>
    <col min="1" max="5" width="16" customWidth="1"/>
    <col min="6" max="6" width="40" customWidth="1"/>
  </cols>
  <sheetData>
    <row r="1" spans="1:6" ht="21">
      <c r="A1" s="40" t="s">
        <v>10</v>
      </c>
      <c r="B1" s="40"/>
      <c r="C1" s="40"/>
      <c r="D1" s="40"/>
      <c r="E1" s="40"/>
      <c r="F1" s="40"/>
    </row>
    <row r="2" spans="1:6">
      <c r="A2" s="41" t="s">
        <v>84</v>
      </c>
      <c r="B2" s="41"/>
      <c r="C2" s="41"/>
      <c r="D2" s="41"/>
      <c r="E2" s="41"/>
      <c r="F2" s="41"/>
    </row>
    <row r="4" spans="1:6" ht="27.6">
      <c r="A4" s="25" t="s">
        <v>85</v>
      </c>
      <c r="B4" s="25" t="s">
        <v>86</v>
      </c>
      <c r="C4" s="25" t="s">
        <v>87</v>
      </c>
      <c r="D4" s="25" t="s">
        <v>88</v>
      </c>
      <c r="E4" s="25" t="s">
        <v>89</v>
      </c>
      <c r="F4" s="25" t="s">
        <v>90</v>
      </c>
    </row>
    <row r="5" spans="1:6" ht="26.4">
      <c r="A5" s="21" t="s">
        <v>91</v>
      </c>
      <c r="B5" s="21" t="s">
        <v>67</v>
      </c>
      <c r="C5" s="21" t="s">
        <v>92</v>
      </c>
      <c r="D5" s="21" t="s">
        <v>67</v>
      </c>
      <c r="E5" s="21" t="s">
        <v>93</v>
      </c>
      <c r="F5" s="21" t="s">
        <v>94</v>
      </c>
    </row>
    <row r="6" spans="1:6">
      <c r="A6" s="24"/>
      <c r="B6" s="24"/>
      <c r="C6" s="24"/>
      <c r="D6" s="24"/>
      <c r="E6" s="24"/>
      <c r="F6" s="24"/>
    </row>
    <row r="7" spans="1:6">
      <c r="A7" s="24"/>
      <c r="B7" s="24"/>
      <c r="C7" s="24"/>
      <c r="D7" s="24"/>
      <c r="E7" s="24"/>
      <c r="F7" s="24"/>
    </row>
    <row r="8" spans="1:6">
      <c r="A8" s="24"/>
      <c r="B8" s="24"/>
      <c r="C8" s="24"/>
      <c r="D8" s="24"/>
      <c r="E8" s="24"/>
      <c r="F8" s="24"/>
    </row>
    <row r="9" spans="1:6">
      <c r="A9" s="24"/>
      <c r="B9" s="24"/>
      <c r="C9" s="24"/>
      <c r="D9" s="24"/>
      <c r="E9" s="24"/>
      <c r="F9" s="24"/>
    </row>
    <row r="10" spans="1:6">
      <c r="A10" s="24"/>
      <c r="B10" s="24"/>
      <c r="C10" s="24"/>
      <c r="D10" s="24"/>
      <c r="E10" s="24"/>
      <c r="F10" s="24"/>
    </row>
    <row r="11" spans="1:6">
      <c r="A11" s="24"/>
      <c r="B11" s="24"/>
      <c r="C11" s="24"/>
      <c r="D11" s="24"/>
      <c r="E11" s="24"/>
      <c r="F11" s="24"/>
    </row>
    <row r="12" spans="1:6">
      <c r="A12" s="24"/>
      <c r="B12" s="24"/>
      <c r="C12" s="24"/>
      <c r="D12" s="24"/>
      <c r="E12" s="24"/>
      <c r="F12" s="24"/>
    </row>
    <row r="13" spans="1:6">
      <c r="A13" s="24"/>
      <c r="B13" s="24"/>
      <c r="C13" s="24"/>
      <c r="D13" s="24"/>
      <c r="E13" s="24"/>
      <c r="F13" s="24"/>
    </row>
    <row r="14" spans="1:6">
      <c r="A14" s="24"/>
      <c r="B14" s="24"/>
      <c r="C14" s="24"/>
      <c r="D14" s="24"/>
      <c r="E14" s="24"/>
      <c r="F14" s="24"/>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cols>
    <col min="1" max="1" width="6" customWidth="1"/>
    <col min="2" max="2" width="20" customWidth="1"/>
    <col min="3" max="3" width="40" customWidth="1"/>
    <col min="4" max="4" width="12" customWidth="1"/>
    <col min="5" max="5" width="34" customWidth="1"/>
    <col min="6" max="6" width="18" customWidth="1"/>
  </cols>
  <sheetData>
    <row r="1" spans="1:6" ht="21">
      <c r="A1" s="40" t="s">
        <v>12</v>
      </c>
      <c r="B1" s="40"/>
      <c r="C1" s="40"/>
      <c r="D1" s="40"/>
      <c r="E1" s="40"/>
      <c r="F1" s="40"/>
    </row>
    <row r="2" spans="1:6">
      <c r="A2" s="41" t="s">
        <v>95</v>
      </c>
      <c r="B2" s="41"/>
      <c r="C2" s="41"/>
      <c r="D2" s="41"/>
      <c r="E2" s="41"/>
      <c r="F2" s="41"/>
    </row>
    <row r="4" spans="1:6" ht="27.6">
      <c r="A4" s="25" t="s">
        <v>96</v>
      </c>
      <c r="B4" s="25" t="s">
        <v>97</v>
      </c>
      <c r="C4" s="25" t="s">
        <v>98</v>
      </c>
      <c r="D4" s="25" t="s">
        <v>99</v>
      </c>
      <c r="E4" s="25" t="s">
        <v>100</v>
      </c>
      <c r="F4" s="25" t="s">
        <v>101</v>
      </c>
    </row>
    <row r="5" spans="1:6" ht="39.6">
      <c r="A5" s="21">
        <v>1</v>
      </c>
      <c r="B5" s="21" t="s">
        <v>102</v>
      </c>
      <c r="C5" s="21" t="s">
        <v>103</v>
      </c>
      <c r="D5" s="21" t="s">
        <v>104</v>
      </c>
      <c r="E5" s="21" t="s">
        <v>105</v>
      </c>
      <c r="F5" s="21" t="s">
        <v>106</v>
      </c>
    </row>
    <row r="6" spans="1:6">
      <c r="A6" s="24">
        <f t="shared" ref="A6:A20" si="0">ROW()-5</f>
        <v>1</v>
      </c>
      <c r="B6" s="24"/>
      <c r="C6" s="24"/>
      <c r="D6" s="24"/>
      <c r="E6" s="24"/>
      <c r="F6" s="24"/>
    </row>
    <row r="7" spans="1:6">
      <c r="A7" s="24">
        <f t="shared" si="0"/>
        <v>2</v>
      </c>
      <c r="B7" s="24"/>
      <c r="C7" s="24"/>
      <c r="D7" s="24"/>
      <c r="E7" s="24"/>
      <c r="F7" s="24"/>
    </row>
    <row r="8" spans="1:6">
      <c r="A8" s="24">
        <f t="shared" si="0"/>
        <v>3</v>
      </c>
      <c r="B8" s="24"/>
      <c r="C8" s="24"/>
      <c r="D8" s="24"/>
      <c r="E8" s="24"/>
      <c r="F8" s="24"/>
    </row>
    <row r="9" spans="1:6">
      <c r="A9" s="24">
        <f t="shared" si="0"/>
        <v>4</v>
      </c>
      <c r="B9" s="24"/>
      <c r="C9" s="24"/>
      <c r="D9" s="24"/>
      <c r="E9" s="24"/>
      <c r="F9" s="24"/>
    </row>
    <row r="10" spans="1:6">
      <c r="A10" s="24">
        <f t="shared" si="0"/>
        <v>5</v>
      </c>
      <c r="B10" s="24"/>
      <c r="C10" s="24"/>
      <c r="D10" s="24"/>
      <c r="E10" s="24"/>
      <c r="F10" s="24"/>
    </row>
    <row r="11" spans="1:6">
      <c r="A11" s="24">
        <f t="shared" si="0"/>
        <v>6</v>
      </c>
      <c r="B11" s="24"/>
      <c r="C11" s="24"/>
      <c r="D11" s="24"/>
      <c r="E11" s="24"/>
      <c r="F11" s="24"/>
    </row>
    <row r="12" spans="1:6">
      <c r="A12" s="24">
        <f t="shared" si="0"/>
        <v>7</v>
      </c>
      <c r="B12" s="24"/>
      <c r="C12" s="24"/>
      <c r="D12" s="24"/>
      <c r="E12" s="24"/>
      <c r="F12" s="24"/>
    </row>
    <row r="13" spans="1:6">
      <c r="A13" s="24">
        <f t="shared" si="0"/>
        <v>8</v>
      </c>
      <c r="B13" s="24"/>
      <c r="C13" s="24"/>
      <c r="D13" s="24"/>
      <c r="E13" s="24"/>
      <c r="F13" s="24"/>
    </row>
    <row r="14" spans="1:6">
      <c r="A14" s="24">
        <f t="shared" si="0"/>
        <v>9</v>
      </c>
      <c r="B14" s="24"/>
      <c r="C14" s="24"/>
      <c r="D14" s="24"/>
      <c r="E14" s="24"/>
      <c r="F14" s="24"/>
    </row>
    <row r="15" spans="1:6">
      <c r="A15" s="24">
        <f t="shared" si="0"/>
        <v>10</v>
      </c>
      <c r="B15" s="24"/>
      <c r="C15" s="24"/>
      <c r="D15" s="24"/>
      <c r="E15" s="24"/>
      <c r="F15" s="24"/>
    </row>
    <row r="16" spans="1:6">
      <c r="A16" s="24">
        <f t="shared" si="0"/>
        <v>11</v>
      </c>
      <c r="B16" s="24"/>
      <c r="C16" s="24"/>
      <c r="D16" s="24"/>
      <c r="E16" s="24"/>
      <c r="F16" s="24"/>
    </row>
    <row r="17" spans="1:6">
      <c r="A17" s="24">
        <f t="shared" si="0"/>
        <v>12</v>
      </c>
      <c r="B17" s="24"/>
      <c r="C17" s="24"/>
      <c r="D17" s="24"/>
      <c r="E17" s="24"/>
      <c r="F17" s="24"/>
    </row>
    <row r="18" spans="1:6">
      <c r="A18" s="24">
        <f t="shared" si="0"/>
        <v>13</v>
      </c>
      <c r="B18" s="24"/>
      <c r="C18" s="24"/>
      <c r="D18" s="24"/>
      <c r="E18" s="24"/>
      <c r="F18" s="24"/>
    </row>
    <row r="19" spans="1:6">
      <c r="A19" s="24">
        <f t="shared" si="0"/>
        <v>14</v>
      </c>
      <c r="B19" s="24"/>
      <c r="C19" s="24"/>
      <c r="D19" s="24"/>
      <c r="E19" s="24"/>
      <c r="F19" s="24"/>
    </row>
    <row r="20" spans="1:6">
      <c r="A20" s="24">
        <f t="shared" si="0"/>
        <v>15</v>
      </c>
      <c r="B20" s="24"/>
      <c r="C20" s="24"/>
      <c r="D20" s="24"/>
      <c r="E20" s="24"/>
      <c r="F20" s="24"/>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cols>
    <col min="1" max="1" width="3" customWidth="1"/>
    <col min="2" max="2" width="34" customWidth="1"/>
    <col min="3" max="3" width="70" customWidth="1"/>
  </cols>
  <sheetData>
    <row r="2" spans="2:3" ht="21">
      <c r="B2" s="3" t="s">
        <v>14</v>
      </c>
    </row>
    <row r="3" spans="2:3" ht="27.75" customHeight="1">
      <c r="B3" s="2" t="s">
        <v>107</v>
      </c>
    </row>
    <row r="5" spans="2:3">
      <c r="B5" s="26" t="s">
        <v>108</v>
      </c>
      <c r="C5" s="6">
        <f>COUNTA('1. Data Dictionary'!#REF!,'1. Data Dictionary'!#REF!)</f>
        <v>2</v>
      </c>
    </row>
    <row r="6" spans="2:3">
      <c r="B6" s="26" t="s">
        <v>109</v>
      </c>
      <c r="C6" s="27" t="e">
        <f>SUM('1. Data Dictionary'!#REF!,'1. Data Dictionary'!#REF!)</f>
        <v>#REF!</v>
      </c>
    </row>
    <row r="7" spans="2:3">
      <c r="B7" s="26" t="s">
        <v>110</v>
      </c>
      <c r="C7" s="6">
        <f>COUNTA('1. Data Dictionary'!#REF!)+COUNTA('1. Data Dictionary'!#REF!)</f>
        <v>2</v>
      </c>
    </row>
    <row r="8" spans="2:3">
      <c r="B8" s="26" t="s">
        <v>111</v>
      </c>
      <c r="C8" s="6">
        <f>COUNTIF('3. Data Quality Log'!F6:F20,"Open")</f>
        <v>0</v>
      </c>
    </row>
    <row r="10" spans="2:3" ht="39.75" customHeight="1">
      <c r="B10" s="4" t="s">
        <v>112</v>
      </c>
      <c r="C10" s="28" t="s">
        <v>113</v>
      </c>
    </row>
    <row r="11" spans="2:3" ht="39.75" customHeight="1">
      <c r="B11" s="4" t="s">
        <v>114</v>
      </c>
      <c r="C11" s="28"/>
    </row>
    <row r="12" spans="2:3" ht="39.75" customHeight="1">
      <c r="B12" s="4" t="s">
        <v>115</v>
      </c>
      <c r="C12" s="28" t="s">
        <v>116</v>
      </c>
    </row>
    <row r="13" spans="2:3" ht="39.75" customHeight="1">
      <c r="B13" s="4" t="s">
        <v>117</v>
      </c>
      <c r="C13" s="28" t="s">
        <v>118</v>
      </c>
    </row>
    <row r="14" spans="2:3" ht="39.75" customHeight="1">
      <c r="B14" s="4" t="s">
        <v>119</v>
      </c>
      <c r="C14" s="28"/>
    </row>
    <row r="16" spans="2:3">
      <c r="B16" s="26" t="s">
        <v>120</v>
      </c>
      <c r="C16" s="29"/>
    </row>
    <row r="17" spans="2:3">
      <c r="B17" s="26" t="s">
        <v>121</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Raaaashii _</cp:lastModifiedBy>
  <cp:revision>0</cp:revision>
  <dcterms:created xsi:type="dcterms:W3CDTF">2026-08-03T06:53:21Z</dcterms:created>
  <dcterms:modified xsi:type="dcterms:W3CDTF">2026-08-19T09:10:35Z</dcterms:modified>
  <dc:language>en-US</dc:language>
</cp:coreProperties>
</file>